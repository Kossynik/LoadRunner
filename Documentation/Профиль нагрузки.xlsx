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VuGen\Documentation\"/>
    </mc:Choice>
  </mc:AlternateContent>
  <bookViews>
    <workbookView xWindow="0" yWindow="0" windowWidth="28800" windowHeight="12300" tabRatio="605"/>
  </bookViews>
  <sheets>
    <sheet name="Автоматизированный расчет" sheetId="3" r:id="rId1"/>
    <sheet name="Тест поиска максимума" sheetId="6" r:id="rId2"/>
    <sheet name="Тест подтверждения максимума" sheetId="7" r:id="rId3"/>
    <sheet name="Лист соответствия" sheetId="4" r:id="rId4"/>
    <sheet name="Debug Summary Report" sheetId="5" r:id="rId5"/>
    <sheet name="Шаблоны соотвествие профилю" sheetId="2" r:id="rId6"/>
  </sheets>
  <calcPr calcId="162913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D8" i="7"/>
  <c r="D9" i="7"/>
  <c r="D10" i="7"/>
  <c r="D11" i="7"/>
  <c r="D12" i="7"/>
  <c r="D13" i="7"/>
  <c r="D2" i="7"/>
  <c r="D5" i="6"/>
  <c r="E5" i="6" s="1"/>
  <c r="D7" i="6"/>
  <c r="D8" i="6"/>
  <c r="E8" i="6" s="1"/>
  <c r="D9" i="6"/>
  <c r="E9" i="6" s="1"/>
  <c r="D13" i="6"/>
  <c r="E13" i="6" s="1"/>
  <c r="D12" i="6"/>
  <c r="D11" i="6"/>
  <c r="D10" i="6"/>
  <c r="E10" i="6" s="1"/>
  <c r="D6" i="6"/>
  <c r="E6" i="6" s="1"/>
  <c r="D4" i="6"/>
  <c r="D3" i="6"/>
  <c r="D2" i="6"/>
  <c r="C3" i="6"/>
  <c r="E3" i="6" s="1"/>
  <c r="C4" i="6"/>
  <c r="C5" i="6"/>
  <c r="C6" i="6"/>
  <c r="C7" i="6"/>
  <c r="E7" i="6" s="1"/>
  <c r="C8" i="6"/>
  <c r="C9" i="6"/>
  <c r="C10" i="6"/>
  <c r="C11" i="6"/>
  <c r="C12" i="6"/>
  <c r="C13" i="6"/>
  <c r="C2" i="6"/>
  <c r="E2" i="6" s="1"/>
  <c r="E12" i="6" l="1"/>
  <c r="E11" i="6"/>
  <c r="E4" i="6"/>
  <c r="F41" i="3"/>
  <c r="F42" i="3"/>
  <c r="F43" i="3"/>
  <c r="F44" i="3"/>
  <c r="F45" i="3"/>
  <c r="F46" i="3"/>
  <c r="F47" i="3"/>
  <c r="F48" i="3"/>
  <c r="F49" i="3"/>
  <c r="F50" i="3"/>
  <c r="F51" i="3"/>
  <c r="D31" i="3" l="1"/>
  <c r="E31" i="3"/>
  <c r="F31" i="3" s="1"/>
  <c r="D30" i="3"/>
  <c r="E30" i="3"/>
  <c r="F30" i="3" s="1"/>
  <c r="E23" i="3"/>
  <c r="F23" i="3" s="1"/>
  <c r="D23" i="3"/>
  <c r="E22" i="3"/>
  <c r="F22" i="3" s="1"/>
  <c r="D22" i="3"/>
  <c r="E21" i="3"/>
  <c r="F21" i="3" s="1"/>
  <c r="D21" i="3"/>
  <c r="D24" i="3"/>
  <c r="E24" i="3"/>
  <c r="F24" i="3" s="1"/>
  <c r="D25" i="3"/>
  <c r="E25" i="3"/>
  <c r="F25" i="3" s="1"/>
  <c r="D20" i="3"/>
  <c r="E20" i="3"/>
  <c r="F20" i="3" s="1"/>
  <c r="D29" i="3"/>
  <c r="E29" i="3"/>
  <c r="F29" i="3" s="1"/>
  <c r="E19" i="3"/>
  <c r="S7" i="3"/>
  <c r="U7" i="3" s="1"/>
  <c r="P7" i="3"/>
  <c r="S8" i="3"/>
  <c r="U8" i="3" s="1"/>
  <c r="S5" i="3"/>
  <c r="U5" i="3" s="1"/>
  <c r="S4" i="3"/>
  <c r="U4" i="3" s="1"/>
  <c r="P5" i="3"/>
  <c r="E18" i="3"/>
  <c r="F18" i="3" s="1"/>
  <c r="D18" i="3"/>
  <c r="E12" i="3"/>
  <c r="F12" i="3" s="1"/>
  <c r="D12" i="3"/>
  <c r="H30" i="3" l="1"/>
  <c r="H31" i="3"/>
  <c r="H29" i="3"/>
  <c r="H20" i="3"/>
  <c r="H21" i="3"/>
  <c r="H22" i="3"/>
  <c r="H23" i="3"/>
  <c r="H24" i="3"/>
  <c r="H25" i="3"/>
  <c r="H18" i="3"/>
  <c r="H12" i="3"/>
  <c r="E34" i="3"/>
  <c r="F34" i="3" s="1"/>
  <c r="E33" i="3"/>
  <c r="D34" i="3"/>
  <c r="D33" i="3"/>
  <c r="P8" i="3"/>
  <c r="W2" i="3"/>
  <c r="V4" i="3" l="1"/>
  <c r="V8" i="3"/>
  <c r="V7" i="3"/>
  <c r="V5" i="3"/>
  <c r="H34" i="3"/>
  <c r="D17" i="3"/>
  <c r="D27" i="3"/>
  <c r="D28" i="3"/>
  <c r="D32" i="3"/>
  <c r="D35" i="3"/>
  <c r="P4" i="3"/>
  <c r="D26" i="3"/>
  <c r="D4" i="3"/>
  <c r="D5" i="3"/>
  <c r="D6" i="3"/>
  <c r="D7" i="3"/>
  <c r="D8" i="3"/>
  <c r="D9" i="3"/>
  <c r="D10" i="3"/>
  <c r="D11" i="3"/>
  <c r="D13" i="3"/>
  <c r="D14" i="3"/>
  <c r="D15" i="3"/>
  <c r="D16" i="3"/>
  <c r="D19" i="3"/>
  <c r="P6" i="3"/>
  <c r="C51" i="3"/>
  <c r="H51" i="3" l="1"/>
  <c r="E27" i="3"/>
  <c r="F27" i="3" s="1"/>
  <c r="H27" i="3" s="1"/>
  <c r="E17" i="3"/>
  <c r="F17" i="3" s="1"/>
  <c r="H17" i="3" s="1"/>
  <c r="E28" i="3"/>
  <c r="F28" i="3" s="1"/>
  <c r="H28" i="3" s="1"/>
  <c r="E32" i="3"/>
  <c r="F32" i="3" s="1"/>
  <c r="H32" i="3" s="1"/>
  <c r="F33" i="3"/>
  <c r="H33" i="3" s="1"/>
  <c r="E35" i="3"/>
  <c r="F35" i="3" s="1"/>
  <c r="H35" i="3" s="1"/>
  <c r="E26" i="3"/>
  <c r="F26" i="3" s="1"/>
  <c r="H26" i="3" s="1"/>
  <c r="E16" i="3"/>
  <c r="F16" i="3" s="1"/>
  <c r="H16" i="3" s="1"/>
  <c r="E15" i="3"/>
  <c r="F15" i="3" s="1"/>
  <c r="H15" i="3" s="1"/>
  <c r="E14" i="3"/>
  <c r="F14" i="3" s="1"/>
  <c r="H14" i="3" s="1"/>
  <c r="F19" i="3"/>
  <c r="H19" i="3" s="1"/>
  <c r="D51" i="3"/>
  <c r="D2" i="3"/>
  <c r="D57" i="3"/>
  <c r="D58" i="3"/>
  <c r="H58" i="3" s="1"/>
  <c r="D59" i="3"/>
  <c r="D60" i="3"/>
  <c r="D56" i="3"/>
  <c r="B60" i="3"/>
  <c r="B58" i="3"/>
  <c r="B57" i="3"/>
  <c r="B59" i="3"/>
  <c r="B56" i="3"/>
  <c r="C47" i="3"/>
  <c r="C44" i="3"/>
  <c r="C40" i="3"/>
  <c r="C45" i="3"/>
  <c r="C42" i="3"/>
  <c r="C49" i="3"/>
  <c r="F40" i="3" l="1"/>
  <c r="H45" i="3"/>
  <c r="H44" i="3"/>
  <c r="H42" i="3"/>
  <c r="H49" i="3"/>
  <c r="H47" i="3"/>
  <c r="D42" i="3"/>
  <c r="C50" i="3"/>
  <c r="C41" i="3"/>
  <c r="C43" i="3"/>
  <c r="C46" i="3"/>
  <c r="C48" i="3"/>
  <c r="H43" i="3" l="1"/>
  <c r="H50" i="3"/>
  <c r="H41" i="3"/>
  <c r="H48" i="3"/>
  <c r="H46" i="3"/>
  <c r="F56" i="3"/>
  <c r="G56" i="3" s="1"/>
  <c r="H56" i="3" s="1"/>
  <c r="C52" i="3"/>
  <c r="F60" i="3"/>
  <c r="G60" i="3" s="1"/>
  <c r="H60" i="3" s="1"/>
  <c r="F58" i="3"/>
  <c r="F59" i="3"/>
  <c r="H59" i="3"/>
  <c r="F57" i="3"/>
  <c r="G57" i="3" s="1"/>
  <c r="H57" i="3" s="1"/>
  <c r="B52" i="3"/>
  <c r="D52" i="3" l="1"/>
  <c r="D49" i="3"/>
  <c r="D40" i="3"/>
  <c r="D50" i="3"/>
  <c r="P3" i="3" l="1"/>
  <c r="V3" i="3" l="1"/>
  <c r="E8" i="3"/>
  <c r="F8" i="3" s="1"/>
  <c r="H8" i="3" s="1"/>
  <c r="E13" i="3"/>
  <c r="F13" i="3" s="1"/>
  <c r="H13" i="3" s="1"/>
  <c r="E9" i="3"/>
  <c r="F9" i="3" s="1"/>
  <c r="H9" i="3" s="1"/>
  <c r="E10" i="3"/>
  <c r="F10" i="3" s="1"/>
  <c r="H10" i="3" s="1"/>
  <c r="E11" i="3"/>
  <c r="F11" i="3" s="1"/>
  <c r="H11" i="3" s="1"/>
  <c r="E7" i="3"/>
  <c r="F7" i="3" s="1"/>
  <c r="H7" i="3" s="1"/>
  <c r="P2" i="3"/>
  <c r="D3" i="3"/>
  <c r="V2" i="3"/>
  <c r="S6" i="3"/>
  <c r="U6" i="3" s="1"/>
  <c r="S3" i="3"/>
  <c r="U3" i="3" s="1"/>
  <c r="E4" i="3" l="1"/>
  <c r="F4" i="3" s="1"/>
  <c r="H4" i="3" s="1"/>
  <c r="E5" i="3"/>
  <c r="F5" i="3" s="1"/>
  <c r="H5" i="3" s="1"/>
  <c r="E2" i="3"/>
  <c r="F2" i="3" s="1"/>
  <c r="H2" i="3" s="1"/>
  <c r="E6" i="3"/>
  <c r="F6" i="3" s="1"/>
  <c r="H6" i="3" s="1"/>
  <c r="S2" i="3"/>
  <c r="U2" i="3" s="1"/>
  <c r="E3" i="3"/>
  <c r="F3" i="3" s="1"/>
  <c r="H3" i="3" s="1"/>
  <c r="H40" i="3"/>
  <c r="D41" i="3"/>
  <c r="D44" i="3"/>
  <c r="V6" i="3"/>
  <c r="G44" i="2"/>
  <c r="G43" i="2"/>
  <c r="I43" i="2" s="1"/>
  <c r="G42" i="2"/>
  <c r="I42" i="2" s="1"/>
  <c r="G41" i="2"/>
  <c r="G40" i="2"/>
  <c r="G39" i="2"/>
  <c r="I39" i="2" s="1"/>
  <c r="G38" i="2"/>
  <c r="I38" i="2" s="1"/>
  <c r="H32" i="2"/>
  <c r="H31" i="2"/>
  <c r="H30" i="2"/>
  <c r="H29" i="2"/>
  <c r="H28" i="2"/>
  <c r="G32" i="2"/>
  <c r="G31" i="2"/>
  <c r="G30" i="2"/>
  <c r="G29" i="2"/>
  <c r="G28" i="2"/>
  <c r="H27" i="2"/>
  <c r="G27" i="2"/>
  <c r="H26" i="2"/>
  <c r="G26" i="2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D47" i="3" l="1"/>
  <c r="D48" i="3"/>
  <c r="D43" i="3"/>
  <c r="D45" i="3"/>
  <c r="D46" i="3"/>
  <c r="I40" i="2"/>
  <c r="I44" i="2"/>
  <c r="I41" i="2"/>
  <c r="I32" i="2"/>
  <c r="I31" i="2"/>
  <c r="I30" i="2"/>
  <c r="I29" i="2"/>
  <c r="I28" i="2"/>
  <c r="I27" i="2"/>
  <c r="I26" i="2"/>
</calcChain>
</file>

<file path=xl/comments1.xml><?xml version="1.0" encoding="utf-8"?>
<comments xmlns="http://schemas.openxmlformats.org/spreadsheetml/2006/main">
  <authors>
    <author>Microsoft Office User</author>
  </authors>
  <commentList>
    <comment ref="N2" authorId="0" shapeId="0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Duration - заполняется на основе данных после выполнения итерации соотвествующего скрипта в Vugen'е</t>
        </r>
      </text>
    </comment>
    <comment ref="O2" authorId="0" shapeId="0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ThinkTime - заполнятеся на основе ThinkTime'ов по выполнению одной итерации соотвествующего скрипта в Vugen'е</t>
        </r>
      </text>
    </comment>
    <comment ref="P2" authorId="0" shapeId="0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Общая длительность одной итерации скрипта ThinkTime + Duration, считается автоматически</t>
        </r>
      </text>
    </comment>
    <comment ref="Q2" authorId="0" shapeId="0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Pacing не должен быть меньше чем Duration + think time (столбец P). Изначально считается как Duration + think time * 2 (коэф запаса времени), далее подгоняется вручную</t>
        </r>
      </text>
    </comment>
    <comment ref="R2" authorId="0" shapeId="0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Количество пользователей для конкретного скрипта, заполняется вручную, сумма всех пользователей для 100% профиля не должна превышать 10.</t>
        </r>
      </text>
    </comment>
  </commentList>
</comments>
</file>

<file path=xl/sharedStrings.xml><?xml version="1.0" encoding="utf-8"?>
<sst xmlns="http://schemas.openxmlformats.org/spreadsheetml/2006/main" count="331" uniqueCount="110">
  <si>
    <t>Вход в систему</t>
  </si>
  <si>
    <t>Заполнение полей для поиска билета</t>
  </si>
  <si>
    <t>Выбор рейса из найденных</t>
  </si>
  <si>
    <t>Оплата билета</t>
  </si>
  <si>
    <t>Просмотр квитанций</t>
  </si>
  <si>
    <t>Отмена бронирования билета</t>
  </si>
  <si>
    <t>Выход из системы</t>
  </si>
  <si>
    <t>Итого</t>
  </si>
  <si>
    <t>Покупка билета</t>
  </si>
  <si>
    <t xml:space="preserve">Удаление бронирования </t>
  </si>
  <si>
    <t xml:space="preserve">Заполнение полей для поиска билета </t>
  </si>
  <si>
    <t xml:space="preserve">Выбор рейса из найденных </t>
  </si>
  <si>
    <t xml:space="preserve">Отмена бронирования </t>
  </si>
  <si>
    <t>Наименование операции</t>
  </si>
  <si>
    <t>Наименование транзакции</t>
  </si>
  <si>
    <t>По профилю</t>
  </si>
  <si>
    <t>По факту</t>
  </si>
  <si>
    <t>% отклонения</t>
  </si>
  <si>
    <t>payment_details</t>
  </si>
  <si>
    <t>Просмотр квитанции</t>
  </si>
  <si>
    <t>Cancel_reservation</t>
  </si>
  <si>
    <t>Check_ticket</t>
  </si>
  <si>
    <t>fing_flight</t>
  </si>
  <si>
    <t>login</t>
  </si>
  <si>
    <t>logout</t>
  </si>
  <si>
    <t>select_ticket</t>
  </si>
  <si>
    <t>Transaction Name</t>
  </si>
  <si>
    <t>Pass</t>
  </si>
  <si>
    <t>Fail</t>
  </si>
  <si>
    <t>Stop</t>
  </si>
  <si>
    <t>Поиск максимума 3 ступень</t>
  </si>
  <si>
    <t>Подтверждение максимума</t>
  </si>
  <si>
    <t>Профиль для 5 пользаков</t>
  </si>
  <si>
    <t>1 315,</t>
  </si>
  <si>
    <t>1 970,</t>
  </si>
  <si>
    <t>1 675,</t>
  </si>
  <si>
    <t>Script name</t>
  </si>
  <si>
    <t>transaction rq</t>
  </si>
  <si>
    <t>count</t>
  </si>
  <si>
    <t>Названия строк</t>
  </si>
  <si>
    <t>Общий итог</t>
  </si>
  <si>
    <t>Операция (бизнес процесс)</t>
  </si>
  <si>
    <t>VU</t>
  </si>
  <si>
    <t>Duration</t>
  </si>
  <si>
    <t>Think_time</t>
  </si>
  <si>
    <t>Pacing</t>
  </si>
  <si>
    <t>Количетсво запросов одним пользователем в минуту</t>
  </si>
  <si>
    <t>Длительность ступени в минутах</t>
  </si>
  <si>
    <t>Интенсивность операций</t>
  </si>
  <si>
    <t>% Распределения пользователей</t>
  </si>
  <si>
    <t>Всего пользователей на ступени</t>
  </si>
  <si>
    <t>Сумма по полю Итого</t>
  </si>
  <si>
    <t>pacing</t>
  </si>
  <si>
    <t>одним пользователем в минуту</t>
  </si>
  <si>
    <t>Длительность ступени</t>
  </si>
  <si>
    <t>Duration + Thin_time</t>
  </si>
  <si>
    <t>Расчетная интенсивность запросов / 20 мин</t>
  </si>
  <si>
    <t>Расчетная интенсивность запросов / час</t>
  </si>
  <si>
    <t>% Соотвествия расчетанной интенсивности статистики</t>
  </si>
  <si>
    <t>Интенсивность по статистике запросов / час</t>
  </si>
  <si>
    <t>Фактическая интенсивность в тесте</t>
  </si>
  <si>
    <t>% Отклонение от Профиля</t>
  </si>
  <si>
    <t>Регистрация новых пользователей</t>
  </si>
  <si>
    <t>Главная Welcome страница</t>
  </si>
  <si>
    <t>Заполнение полей регистарции</t>
  </si>
  <si>
    <t>Перход на страницу регистрации</t>
  </si>
  <si>
    <t>Поиск билета без покупки</t>
  </si>
  <si>
    <t>Покупка билет</t>
  </si>
  <si>
    <t>Логин и логоут</t>
  </si>
  <si>
    <t>Удаление юрони</t>
  </si>
  <si>
    <t>Поиск билета</t>
  </si>
  <si>
    <t>Просмотр текущих бронирований</t>
  </si>
  <si>
    <t>Кол-во в минуту</t>
  </si>
  <si>
    <t>vu</t>
  </si>
  <si>
    <t>мин</t>
  </si>
  <si>
    <t>округл</t>
  </si>
  <si>
    <t>pacing сек</t>
  </si>
  <si>
    <t>Операций/час = количество операций одним пользователем в час (60 * количество операций один пользователем в минуту (pacing / 60)) * кол-во пользователей</t>
  </si>
  <si>
    <t>Переход на страницу поиска билетов</t>
  </si>
  <si>
    <t>Название запроса</t>
  </si>
  <si>
    <t>Статистика с ПРОДа</t>
  </si>
  <si>
    <t>Переход на следуюущий экран после регистарции</t>
  </si>
  <si>
    <t>Просмотр путевого листа</t>
  </si>
  <si>
    <t>Поиск билета без выбора рейса</t>
  </si>
  <si>
    <t>Логин</t>
  </si>
  <si>
    <t>openHomePage</t>
  </si>
  <si>
    <t>clickFlights</t>
  </si>
  <si>
    <t>findFlight</t>
  </si>
  <si>
    <t>selectTicket</t>
  </si>
  <si>
    <t>paymentDetails</t>
  </si>
  <si>
    <t>clickItinerary</t>
  </si>
  <si>
    <t>cancelChecked</t>
  </si>
  <si>
    <t>signOff</t>
  </si>
  <si>
    <t>signUp</t>
  </si>
  <si>
    <t>profileDataEntry</t>
  </si>
  <si>
    <t>confirmSignUp</t>
  </si>
  <si>
    <t>SLA Status</t>
  </si>
  <si>
    <t>Minimum</t>
  </si>
  <si>
    <t>Average</t>
  </si>
  <si>
    <t>Maximum</t>
  </si>
  <si>
    <t>Std. Deviation</t>
  </si>
  <si>
    <t>90 Percent</t>
  </si>
  <si>
    <t>No Data</t>
  </si>
  <si>
    <t>UC01_registration</t>
  </si>
  <si>
    <t>UC02_searchTicket_withoutBuy</t>
  </si>
  <si>
    <t>UC03_viewingItinerary</t>
  </si>
  <si>
    <t>UC04_buyTicket</t>
  </si>
  <si>
    <t>UC05_deleteTicket</t>
  </si>
  <si>
    <t>UC06_searchTicket_withoutSelectFlight</t>
  </si>
  <si>
    <t>UC07_login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</si>
</sst>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"/>
    <numFmt numFmtId="166" formatCode="0.0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9C6500"/>
      <name val="Calibri"/>
      <family val="2"/>
      <charset val="20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2">
    <xf numFmtId="0" fontId="0" fillId="0" borderId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6" fillId="0" borderId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21" fillId="6" borderId="7" applyNumberFormat="0" applyAlignment="0" applyProtection="0"/>
    <xf numFmtId="0" fontId="22" fillId="7" borderId="8" applyNumberFormat="0" applyAlignment="0" applyProtection="0"/>
    <xf numFmtId="0" fontId="23" fillId="7" borderId="7" applyNumberFormat="0" applyAlignment="0" applyProtection="0"/>
    <xf numFmtId="0" fontId="24" fillId="0" borderId="9" applyNumberFormat="0" applyFill="0" applyAlignment="0" applyProtection="0"/>
    <xf numFmtId="0" fontId="25" fillId="8" borderId="10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3" fillId="0" borderId="12" applyNumberFormat="0" applyFill="0" applyAlignment="0" applyProtection="0"/>
    <xf numFmtId="0" fontId="28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28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8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8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8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8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9" borderId="11" applyNumberFormat="0" applyFont="0" applyAlignment="0" applyProtection="0"/>
    <xf numFmtId="9" fontId="29" fillId="0" borderId="0" applyFont="0" applyFill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9" borderId="11" applyNumberFormat="0" applyFont="0" applyAlignment="0" applyProtection="0"/>
    <xf numFmtId="0" fontId="3" fillId="0" borderId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9" borderId="11" applyNumberFormat="0" applyFont="0" applyAlignment="0" applyProtection="0"/>
    <xf numFmtId="0" fontId="2" fillId="0" borderId="0"/>
    <xf numFmtId="0" fontId="35" fillId="4" borderId="0" applyNumberFormat="0" applyBorder="0" applyAlignment="0" applyProtection="0"/>
    <xf numFmtId="0" fontId="2" fillId="9" borderId="11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8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8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8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8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8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8" fillId="33" borderId="0" applyNumberFormat="0" applyBorder="0" applyAlignment="0" applyProtection="0"/>
    <xf numFmtId="0" fontId="1" fillId="0" borderId="0"/>
    <xf numFmtId="0" fontId="1" fillId="9" borderId="1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9">
    <xf numFmtId="0" fontId="0" fillId="0" borderId="0" xfId="0"/>
    <xf numFmtId="0" fontId="14" fillId="5" borderId="2" xfId="0" applyFont="1" applyFill="1" applyBorder="1" applyAlignment="1">
      <alignment horizontal="center" vertical="top" wrapText="1"/>
    </xf>
    <xf numFmtId="0" fontId="15" fillId="0" borderId="3" xfId="0" applyFont="1" applyBorder="1" applyAlignment="1">
      <alignment horizontal="left" vertical="top" wrapText="1"/>
    </xf>
    <xf numFmtId="0" fontId="13" fillId="0" borderId="3" xfId="4" applyFont="1" applyBorder="1" applyAlignment="1">
      <alignment horizontal="center" vertical="top"/>
    </xf>
    <xf numFmtId="0" fontId="14" fillId="0" borderId="3" xfId="0" applyFont="1" applyBorder="1" applyAlignment="1">
      <alignment horizontal="center" vertical="top"/>
    </xf>
    <xf numFmtId="10" fontId="14" fillId="0" borderId="3" xfId="0" applyNumberFormat="1" applyFont="1" applyBorder="1" applyAlignment="1">
      <alignment horizontal="center" vertical="top"/>
    </xf>
    <xf numFmtId="10" fontId="16" fillId="0" borderId="3" xfId="0" applyNumberFormat="1" applyFont="1" applyBorder="1" applyAlignment="1">
      <alignment horizontal="center" vertical="top"/>
    </xf>
    <xf numFmtId="10" fontId="16" fillId="0" borderId="3" xfId="0" applyNumberFormat="1" applyFont="1" applyBorder="1" applyAlignment="1">
      <alignment horizontal="left" vertical="top"/>
    </xf>
    <xf numFmtId="0" fontId="14" fillId="5" borderId="3" xfId="0" applyFont="1" applyFill="1" applyBorder="1" applyAlignment="1">
      <alignment horizontal="left" vertical="top"/>
    </xf>
    <xf numFmtId="0" fontId="5" fillId="0" borderId="3" xfId="42" applyBorder="1"/>
    <xf numFmtId="0" fontId="14" fillId="0" borderId="3" xfId="0" applyFont="1" applyBorder="1" applyAlignment="1">
      <alignment horizontal="left" vertical="top"/>
    </xf>
    <xf numFmtId="10" fontId="14" fillId="0" borderId="3" xfId="0" applyNumberFormat="1" applyFont="1" applyBorder="1" applyAlignment="1">
      <alignment horizontal="left" vertical="top"/>
    </xf>
    <xf numFmtId="0" fontId="13" fillId="0" borderId="3" xfId="4" applyFont="1" applyBorder="1" applyAlignment="1">
      <alignment horizontal="left" vertical="top"/>
    </xf>
    <xf numFmtId="0" fontId="15" fillId="0" borderId="3" xfId="0" applyFont="1" applyBorder="1" applyAlignment="1">
      <alignment horizontal="left" vertical="top"/>
    </xf>
    <xf numFmtId="0" fontId="5" fillId="0" borderId="0" xfId="42"/>
    <xf numFmtId="0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30" fillId="0" borderId="0" xfId="0" applyFont="1"/>
    <xf numFmtId="1" fontId="30" fillId="0" borderId="0" xfId="0" applyNumberFormat="1" applyFont="1"/>
    <xf numFmtId="0" fontId="0" fillId="36" borderId="3" xfId="0" applyFill="1" applyBorder="1"/>
    <xf numFmtId="9" fontId="0" fillId="0" borderId="3" xfId="44" applyFont="1" applyBorder="1"/>
    <xf numFmtId="9" fontId="0" fillId="38" borderId="3" xfId="44" applyFont="1" applyFill="1" applyBorder="1"/>
    <xf numFmtId="1" fontId="7" fillId="0" borderId="15" xfId="0" applyNumberFormat="1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1" fontId="0" fillId="0" borderId="16" xfId="0" applyNumberFormat="1" applyBorder="1"/>
    <xf numFmtId="9" fontId="0" fillId="0" borderId="17" xfId="44" applyFont="1" applyBorder="1"/>
    <xf numFmtId="0" fontId="9" fillId="0" borderId="3" xfId="0" applyFont="1" applyBorder="1" applyAlignment="1">
      <alignment vertical="center" wrapText="1"/>
    </xf>
    <xf numFmtId="9" fontId="0" fillId="0" borderId="0" xfId="44" applyFont="1"/>
    <xf numFmtId="165" fontId="0" fillId="0" borderId="0" xfId="0" applyNumberFormat="1"/>
    <xf numFmtId="0" fontId="0" fillId="0" borderId="0" xfId="0" applyAlignment="1">
      <alignment horizontal="center"/>
    </xf>
    <xf numFmtId="165" fontId="0" fillId="41" borderId="3" xfId="0" applyNumberFormat="1" applyFill="1" applyBorder="1"/>
    <xf numFmtId="165" fontId="0" fillId="41" borderId="3" xfId="0" quotePrefix="1" applyNumberFormat="1" applyFill="1" applyBorder="1"/>
    <xf numFmtId="0" fontId="0" fillId="0" borderId="0" xfId="0" applyFont="1"/>
    <xf numFmtId="9" fontId="0" fillId="0" borderId="0" xfId="0" applyNumberFormat="1" applyFont="1"/>
    <xf numFmtId="0" fontId="9" fillId="0" borderId="15" xfId="0" applyFont="1" applyBorder="1" applyAlignment="1">
      <alignment vertical="center" wrapText="1"/>
    </xf>
    <xf numFmtId="0" fontId="9" fillId="39" borderId="18" xfId="0" applyFont="1" applyFill="1" applyBorder="1" applyAlignment="1">
      <alignment vertical="center" wrapText="1"/>
    </xf>
    <xf numFmtId="0" fontId="9" fillId="39" borderId="19" xfId="0" applyFont="1" applyFill="1" applyBorder="1" applyAlignment="1">
      <alignment vertical="center" wrapText="1"/>
    </xf>
    <xf numFmtId="0" fontId="7" fillId="39" borderId="19" xfId="0" applyFont="1" applyFill="1" applyBorder="1" applyAlignment="1">
      <alignment horizontal="center" vertical="center" wrapText="1"/>
    </xf>
    <xf numFmtId="0" fontId="7" fillId="39" borderId="18" xfId="0" applyFont="1" applyFill="1" applyBorder="1" applyAlignment="1">
      <alignment horizontal="left" vertical="center" wrapText="1"/>
    </xf>
    <xf numFmtId="0" fontId="8" fillId="39" borderId="20" xfId="0" applyFont="1" applyFill="1" applyBorder="1" applyAlignment="1">
      <alignment horizontal="left" vertical="center" wrapText="1"/>
    </xf>
    <xf numFmtId="0" fontId="7" fillId="39" borderId="21" xfId="0" applyFont="1" applyFill="1" applyBorder="1" applyAlignment="1">
      <alignment horizontal="center" vertical="center" wrapText="1"/>
    </xf>
    <xf numFmtId="0" fontId="0" fillId="40" borderId="22" xfId="0" applyFill="1" applyBorder="1"/>
    <xf numFmtId="0" fontId="33" fillId="40" borderId="27" xfId="0" applyFont="1" applyFill="1" applyBorder="1"/>
    <xf numFmtId="0" fontId="33" fillId="40" borderId="22" xfId="0" applyFont="1" applyFill="1" applyBorder="1"/>
    <xf numFmtId="0" fontId="0" fillId="40" borderId="25" xfId="0" applyFill="1" applyBorder="1"/>
    <xf numFmtId="0" fontId="0" fillId="40" borderId="27" xfId="0" applyFill="1" applyBorder="1"/>
    <xf numFmtId="0" fontId="0" fillId="40" borderId="23" xfId="0" applyFill="1" applyBorder="1"/>
    <xf numFmtId="0" fontId="0" fillId="40" borderId="24" xfId="0" applyFill="1" applyBorder="1"/>
    <xf numFmtId="0" fontId="0" fillId="40" borderId="26" xfId="0" applyFill="1" applyBorder="1"/>
    <xf numFmtId="0" fontId="33" fillId="40" borderId="23" xfId="0" applyFont="1" applyFill="1" applyBorder="1"/>
    <xf numFmtId="9" fontId="0" fillId="0" borderId="17" xfId="44" applyFont="1" applyBorder="1"/>
    <xf numFmtId="0" fontId="0" fillId="0" borderId="0" xfId="0"/>
    <xf numFmtId="0" fontId="0" fillId="0" borderId="13" xfId="0" applyBorder="1"/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0" borderId="14" xfId="0" applyBorder="1"/>
    <xf numFmtId="9" fontId="0" fillId="0" borderId="3" xfId="44" applyFont="1" applyBorder="1"/>
    <xf numFmtId="1" fontId="0" fillId="0" borderId="16" xfId="0" applyNumberFormat="1" applyBorder="1"/>
    <xf numFmtId="166" fontId="0" fillId="0" borderId="3" xfId="0" applyNumberFormat="1" applyFill="1" applyBorder="1"/>
    <xf numFmtId="166" fontId="0" fillId="37" borderId="3" xfId="0" applyNumberFormat="1" applyFill="1" applyBorder="1"/>
    <xf numFmtId="0" fontId="0" fillId="0" borderId="0" xfId="0" applyBorder="1"/>
    <xf numFmtId="0" fontId="0" fillId="0" borderId="3" xfId="0" applyBorder="1"/>
    <xf numFmtId="2" fontId="0" fillId="0" borderId="0" xfId="0" applyNumberFormat="1" applyBorder="1"/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5" borderId="3" xfId="0" applyFill="1" applyBorder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30" fillId="0" borderId="0" xfId="0" applyFont="1"/>
    <xf numFmtId="1" fontId="30" fillId="0" borderId="0" xfId="0" applyNumberFormat="1" applyFont="1"/>
    <xf numFmtId="9" fontId="0" fillId="0" borderId="0" xfId="0" applyNumberFormat="1" applyFont="1"/>
    <xf numFmtId="1" fontId="0" fillId="35" borderId="3" xfId="0" applyNumberFormat="1" applyFill="1" applyBorder="1"/>
    <xf numFmtId="0" fontId="0" fillId="40" borderId="29" xfId="0" applyFill="1" applyBorder="1"/>
    <xf numFmtId="0" fontId="0" fillId="40" borderId="30" xfId="0" applyFill="1" applyBorder="1"/>
    <xf numFmtId="0" fontId="0" fillId="5" borderId="3" xfId="0" applyFill="1" applyBorder="1"/>
    <xf numFmtId="1" fontId="34" fillId="0" borderId="0" xfId="0" applyNumberFormat="1" applyFont="1"/>
    <xf numFmtId="0" fontId="0" fillId="40" borderId="31" xfId="0" applyFill="1" applyBorder="1"/>
    <xf numFmtId="0" fontId="0" fillId="40" borderId="14" xfId="0" applyFill="1" applyBorder="1"/>
    <xf numFmtId="0" fontId="0" fillId="40" borderId="32" xfId="0" applyFill="1" applyBorder="1"/>
    <xf numFmtId="0" fontId="33" fillId="40" borderId="33" xfId="0" applyFont="1" applyFill="1" applyBorder="1"/>
    <xf numFmtId="0" fontId="0" fillId="40" borderId="33" xfId="0" applyFill="1" applyBorder="1"/>
    <xf numFmtId="0" fontId="0" fillId="40" borderId="34" xfId="0" applyFill="1" applyBorder="1"/>
    <xf numFmtId="0" fontId="0" fillId="40" borderId="0" xfId="0" applyFill="1" applyBorder="1"/>
    <xf numFmtId="1" fontId="0" fillId="36" borderId="3" xfId="0" applyNumberFormat="1" applyFill="1" applyBorder="1"/>
    <xf numFmtId="0" fontId="2" fillId="0" borderId="0" xfId="87"/>
    <xf numFmtId="9" fontId="0" fillId="38" borderId="3" xfId="44" applyNumberFormat="1" applyFont="1" applyFill="1" applyBorder="1"/>
    <xf numFmtId="0" fontId="0" fillId="41" borderId="24" xfId="0" applyFill="1" applyBorder="1" applyAlignment="1">
      <alignment horizontal="center"/>
    </xf>
    <xf numFmtId="0" fontId="0" fillId="41" borderId="28" xfId="0" applyFill="1" applyBorder="1" applyAlignment="1">
      <alignment horizontal="center"/>
    </xf>
    <xf numFmtId="0" fontId="0" fillId="34" borderId="0" xfId="0" applyFill="1" applyAlignment="1">
      <alignment horizontal="center"/>
    </xf>
    <xf numFmtId="1" fontId="0" fillId="36" borderId="16" xfId="0" applyNumberFormat="1" applyFill="1" applyBorder="1"/>
  </cellXfs>
  <cellStyles count="122">
    <cellStyle name="20% — акцент1" xfId="19" builtinId="30" customBuiltin="1"/>
    <cellStyle name="20% — акцент1 2" xfId="46"/>
    <cellStyle name="20% — акцент1 3" xfId="67"/>
    <cellStyle name="20% — акцент1 4" xfId="90"/>
    <cellStyle name="20% — акцент1 5" xfId="110"/>
    <cellStyle name="20% — акцент2" xfId="23" builtinId="34" customBuiltin="1"/>
    <cellStyle name="20% — акцент2 2" xfId="49"/>
    <cellStyle name="20% — акцент2 3" xfId="70"/>
    <cellStyle name="20% — акцент2 4" xfId="93"/>
    <cellStyle name="20% — акцент2 5" xfId="112"/>
    <cellStyle name="20% — акцент3" xfId="27" builtinId="38" customBuiltin="1"/>
    <cellStyle name="20% — акцент3 2" xfId="52"/>
    <cellStyle name="20% — акцент3 3" xfId="73"/>
    <cellStyle name="20% — акцент3 4" xfId="96"/>
    <cellStyle name="20% — акцент3 5" xfId="114"/>
    <cellStyle name="20% — акцент4" xfId="31" builtinId="42" customBuiltin="1"/>
    <cellStyle name="20% — акцент4 2" xfId="55"/>
    <cellStyle name="20% — акцент4 3" xfId="76"/>
    <cellStyle name="20% — акцент4 4" xfId="99"/>
    <cellStyle name="20% — акцент4 5" xfId="116"/>
    <cellStyle name="20% — акцент5" xfId="35" builtinId="46" customBuiltin="1"/>
    <cellStyle name="20% — акцент5 2" xfId="58"/>
    <cellStyle name="20% — акцент5 3" xfId="79"/>
    <cellStyle name="20% — акцент5 4" xfId="102"/>
    <cellStyle name="20% — акцент5 5" xfId="118"/>
    <cellStyle name="20% — акцент6" xfId="39" builtinId="50" customBuiltin="1"/>
    <cellStyle name="20% — акцент6 2" xfId="61"/>
    <cellStyle name="20% — акцент6 3" xfId="82"/>
    <cellStyle name="20% — акцент6 4" xfId="105"/>
    <cellStyle name="20% — акцент6 5" xfId="120"/>
    <cellStyle name="40% — акцент1" xfId="20" builtinId="31" customBuiltin="1"/>
    <cellStyle name="40% — акцент1 2" xfId="47"/>
    <cellStyle name="40% — акцент1 3" xfId="68"/>
    <cellStyle name="40% — акцент1 4" xfId="91"/>
    <cellStyle name="40% — акцент1 5" xfId="111"/>
    <cellStyle name="40% — акцент2" xfId="24" builtinId="35" customBuiltin="1"/>
    <cellStyle name="40% — акцент2 2" xfId="50"/>
    <cellStyle name="40% — акцент2 3" xfId="71"/>
    <cellStyle name="40% — акцент2 4" xfId="94"/>
    <cellStyle name="40% — акцент2 5" xfId="113"/>
    <cellStyle name="40% — акцент3" xfId="28" builtinId="39" customBuiltin="1"/>
    <cellStyle name="40% — акцент3 2" xfId="53"/>
    <cellStyle name="40% — акцент3 3" xfId="74"/>
    <cellStyle name="40% — акцент3 4" xfId="97"/>
    <cellStyle name="40% — акцент3 5" xfId="115"/>
    <cellStyle name="40% — акцент4" xfId="32" builtinId="43" customBuiltin="1"/>
    <cellStyle name="40% — акцент4 2" xfId="56"/>
    <cellStyle name="40% — акцент4 3" xfId="77"/>
    <cellStyle name="40% — акцент4 4" xfId="100"/>
    <cellStyle name="40% — акцент4 5" xfId="117"/>
    <cellStyle name="40% — акцент5" xfId="36" builtinId="47" customBuiltin="1"/>
    <cellStyle name="40% — акцент5 2" xfId="59"/>
    <cellStyle name="40% — акцент5 3" xfId="80"/>
    <cellStyle name="40% — акцент5 4" xfId="103"/>
    <cellStyle name="40% — акцент5 5" xfId="119"/>
    <cellStyle name="40% — акцент6" xfId="40" builtinId="51" customBuiltin="1"/>
    <cellStyle name="40% — акцент6 2" xfId="62"/>
    <cellStyle name="40% — акцент6 3" xfId="83"/>
    <cellStyle name="40% — акцент6 4" xfId="106"/>
    <cellStyle name="40% — акцент6 5" xfId="121"/>
    <cellStyle name="60% — акцент1" xfId="21" builtinId="32" customBuiltin="1"/>
    <cellStyle name="60% — акцент1 2" xfId="48"/>
    <cellStyle name="60% — акцент1 3" xfId="69"/>
    <cellStyle name="60% — акцент1 4" xfId="92"/>
    <cellStyle name="60% — акцент2" xfId="25" builtinId="36" customBuiltin="1"/>
    <cellStyle name="60% — акцент2 2" xfId="51"/>
    <cellStyle name="60% — акцент2 3" xfId="72"/>
    <cellStyle name="60% — акцент2 4" xfId="95"/>
    <cellStyle name="60% — акцент3" xfId="29" builtinId="40" customBuiltin="1"/>
    <cellStyle name="60% — акцент3 2" xfId="54"/>
    <cellStyle name="60% — акцент3 3" xfId="75"/>
    <cellStyle name="60% — акцент3 4" xfId="98"/>
    <cellStyle name="60% — акцент4" xfId="33" builtinId="44" customBuiltin="1"/>
    <cellStyle name="60% — акцент4 2" xfId="57"/>
    <cellStyle name="60% — акцент4 3" xfId="78"/>
    <cellStyle name="60% — акцент4 4" xfId="101"/>
    <cellStyle name="60% — акцент5" xfId="37" builtinId="48" customBuiltin="1"/>
    <cellStyle name="60% — акцент5 2" xfId="60"/>
    <cellStyle name="60% — акцент5 3" xfId="81"/>
    <cellStyle name="60% — акцент5 4" xfId="104"/>
    <cellStyle name="60% — акцент6" xfId="41" builtinId="52" customBuiltin="1"/>
    <cellStyle name="60% — акцент6 2" xfId="63"/>
    <cellStyle name="60% — акцент6 3" xfId="84"/>
    <cellStyle name="60% — акцент6 4" xfId="107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6" builtinId="16" customBuiltin="1"/>
    <cellStyle name="Заголовок 2" xfId="7" builtinId="17" customBuiltin="1"/>
    <cellStyle name="Заголовок 3" xfId="8" builtinId="18" customBuiltin="1"/>
    <cellStyle name="Заголовок 4" xfId="9" builtinId="19" customBuiltin="1"/>
    <cellStyle name="Итог" xfId="17" builtinId="25" customBuiltin="1"/>
    <cellStyle name="Контрольная ячейка" xfId="14" builtinId="23" customBuiltin="1"/>
    <cellStyle name="Название" xfId="5" builtinId="15" customBuiltin="1"/>
    <cellStyle name="Нейтральный" xfId="3" builtinId="28" customBuiltin="1"/>
    <cellStyle name="Нейтральный 2" xfId="88"/>
    <cellStyle name="Обычный" xfId="0" builtinId="0"/>
    <cellStyle name="Обычный 2" xfId="4"/>
    <cellStyle name="Обычный 2 2" xfId="45"/>
    <cellStyle name="Обычный 2 3" xfId="66"/>
    <cellStyle name="Обычный 3" xfId="42"/>
    <cellStyle name="Обычный 3 2" xfId="64"/>
    <cellStyle name="Обычный 3 3" xfId="85"/>
    <cellStyle name="Обычный 4" xfId="87"/>
    <cellStyle name="Обычный 5" xfId="108"/>
    <cellStyle name="Плохой" xfId="2" builtinId="27" customBuiltin="1"/>
    <cellStyle name="Пояснение" xfId="16" builtinId="53" customBuiltin="1"/>
    <cellStyle name="Примечание 2" xfId="43"/>
    <cellStyle name="Примечание 2 2" xfId="65"/>
    <cellStyle name="Примечание 2 3" xfId="86"/>
    <cellStyle name="Примечание 3" xfId="89"/>
    <cellStyle name="Примечание 4" xfId="109"/>
    <cellStyle name="Процентный" xfId="44" builtinId="5"/>
    <cellStyle name="Связанная ячейка" xfId="13" builtinId="24" customBuiltin="1"/>
    <cellStyle name="Текст предупреждения" xfId="15" builtinId="11" customBuiltin="1"/>
    <cellStyle name="Хороший" xfId="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Никита" refreshedDate="44659.472553356478" createdVersion="6" refreshedVersion="6" minRefreshableVersion="3" recordCount="34">
  <cacheSource type="worksheet">
    <worksheetSource ref="A1:H35" sheet="Автоматизированный расчет"/>
  </cacheSource>
  <cacheFields count="8">
    <cacheField name="Script name" numFmtId="0">
      <sharedItems/>
    </cacheField>
    <cacheField name="transaction rq" numFmtId="0">
      <sharedItems containsBlank="1" count="15">
        <s v="Главная Welcome страница"/>
        <s v="Перход на страницу регистрации"/>
        <s v="Заполнение полей регистарции"/>
        <s v="Переход на следуюущий экран после регистарции"/>
        <s v="Выход из системы"/>
        <s v="Вход в систему"/>
        <s v="Переход на страницу поиска билетов"/>
        <s v="Заполнение полей для поиска билета "/>
        <s v="Выбор рейса из найденных "/>
        <s v="Оплата билета"/>
        <s v="Просмотр квитанций"/>
        <s v="Отмена бронирования "/>
        <m u="1"/>
        <s v="Переход на следуюущий эран после регистарции" u="1"/>
        <s v="Главная Welcome страницаа" u="1"/>
      </sharedItems>
    </cacheField>
    <cacheField name="count" numFmtId="0">
      <sharedItems containsSemiMixedTypes="0" containsString="0" containsNumber="1" containsInteger="1" minValue="1" maxValue="1"/>
    </cacheField>
    <cacheField name="VU" numFmtId="0">
      <sharedItems containsSemiMixedTypes="0" containsString="0" containsNumber="1" containsInteger="1" minValue="1" maxValue="2"/>
    </cacheField>
    <cacheField name="pacing" numFmtId="1">
      <sharedItems containsSemiMixedTypes="0" containsString="0" containsNumber="1" containsInteger="1" minValue="40" maxValue="150"/>
    </cacheField>
    <cacheField name="одним пользователем в минуту" numFmtId="2">
      <sharedItems containsSemiMixedTypes="0" containsString="0" containsNumber="1" minValue="0.4" maxValue="1.5"/>
    </cacheField>
    <cacheField name="Длительность ступени" numFmtId="0">
      <sharedItems containsSemiMixedTypes="0" containsString="0" containsNumber="1" containsInteger="1" minValue="20" maxValue="20"/>
    </cacheField>
    <cacheField name="Итого" numFmtId="1">
      <sharedItems containsSemiMixedTypes="0" containsString="0" containsNumber="1" minValue="8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">
  <r>
    <s v="Регистрация новых пользователей"/>
    <x v="0"/>
    <n v="1"/>
    <n v="2"/>
    <n v="74"/>
    <n v="0.81081081081081086"/>
    <n v="20"/>
    <n v="32.432432432432435"/>
  </r>
  <r>
    <s v="Регистрация новых пользователей"/>
    <x v="1"/>
    <n v="1"/>
    <n v="2"/>
    <n v="74"/>
    <n v="0.81081081081081086"/>
    <n v="20"/>
    <n v="32.432432432432435"/>
  </r>
  <r>
    <s v="Регистрация новых пользователей"/>
    <x v="2"/>
    <n v="1"/>
    <n v="2"/>
    <n v="74"/>
    <n v="0.81081081081081086"/>
    <n v="20"/>
    <n v="32.432432432432435"/>
  </r>
  <r>
    <s v="Регистрация новых пользователей"/>
    <x v="3"/>
    <n v="1"/>
    <n v="2"/>
    <n v="74"/>
    <n v="0.81081081081081086"/>
    <n v="20"/>
    <n v="32.432432432432435"/>
  </r>
  <r>
    <s v="Регистрация новых пользователей"/>
    <x v="4"/>
    <n v="1"/>
    <n v="2"/>
    <n v="74"/>
    <n v="0.81081081081081086"/>
    <n v="20"/>
    <n v="32.432432432432435"/>
  </r>
  <r>
    <s v="Покупка билета"/>
    <x v="0"/>
    <n v="1"/>
    <n v="2"/>
    <n v="40"/>
    <n v="1.5"/>
    <n v="20"/>
    <n v="60"/>
  </r>
  <r>
    <s v="Покупка билета"/>
    <x v="5"/>
    <n v="1"/>
    <n v="2"/>
    <n v="40"/>
    <n v="1.5"/>
    <n v="20"/>
    <n v="60"/>
  </r>
  <r>
    <s v="Покупка билета"/>
    <x v="6"/>
    <n v="1"/>
    <n v="2"/>
    <n v="40"/>
    <n v="1.5"/>
    <n v="20"/>
    <n v="60"/>
  </r>
  <r>
    <s v="Покупка билета"/>
    <x v="7"/>
    <n v="1"/>
    <n v="2"/>
    <n v="40"/>
    <n v="1.5"/>
    <n v="20"/>
    <n v="60"/>
  </r>
  <r>
    <s v="Покупка билета"/>
    <x v="8"/>
    <n v="1"/>
    <n v="2"/>
    <n v="40"/>
    <n v="1.5"/>
    <n v="20"/>
    <n v="60"/>
  </r>
  <r>
    <s v="Покупка билета"/>
    <x v="9"/>
    <n v="1"/>
    <n v="2"/>
    <n v="40"/>
    <n v="1.5"/>
    <n v="20"/>
    <n v="60"/>
  </r>
  <r>
    <s v="Покупка билета"/>
    <x v="10"/>
    <n v="1"/>
    <n v="2"/>
    <n v="40"/>
    <n v="1.5"/>
    <n v="20"/>
    <n v="60"/>
  </r>
  <r>
    <s v="Поиск билета без покупки"/>
    <x v="0"/>
    <n v="1"/>
    <n v="1"/>
    <n v="40"/>
    <n v="1.5"/>
    <n v="20"/>
    <n v="30"/>
  </r>
  <r>
    <s v="Поиск билета без покупки"/>
    <x v="5"/>
    <n v="1"/>
    <n v="1"/>
    <n v="40"/>
    <n v="1.5"/>
    <n v="20"/>
    <n v="30"/>
  </r>
  <r>
    <s v="Поиск билета без покупки"/>
    <x v="6"/>
    <n v="1"/>
    <n v="1"/>
    <n v="40"/>
    <n v="1.5"/>
    <n v="20"/>
    <n v="30"/>
  </r>
  <r>
    <s v="Поиск билета без покупки"/>
    <x v="7"/>
    <n v="1"/>
    <n v="1"/>
    <n v="40"/>
    <n v="1.5"/>
    <n v="20"/>
    <n v="30"/>
  </r>
  <r>
    <s v="Поиск билета без покупки"/>
    <x v="8"/>
    <n v="1"/>
    <n v="1"/>
    <n v="40"/>
    <n v="1.5"/>
    <n v="20"/>
    <n v="30"/>
  </r>
  <r>
    <s v="Поиск билета без покупки"/>
    <x v="4"/>
    <n v="1"/>
    <n v="1"/>
    <n v="40"/>
    <n v="1.5"/>
    <n v="20"/>
    <n v="30"/>
  </r>
  <r>
    <s v="Поиск билета без выбора рейса"/>
    <x v="0"/>
    <n v="1"/>
    <n v="1"/>
    <n v="150"/>
    <n v="0.4"/>
    <n v="20"/>
    <n v="8"/>
  </r>
  <r>
    <s v="Поиск билета без выбора рейса"/>
    <x v="5"/>
    <n v="1"/>
    <n v="1"/>
    <n v="150"/>
    <n v="0.4"/>
    <n v="20"/>
    <n v="8"/>
  </r>
  <r>
    <s v="Поиск билета без выбора рейса"/>
    <x v="6"/>
    <n v="1"/>
    <n v="1"/>
    <n v="150"/>
    <n v="0.4"/>
    <n v="20"/>
    <n v="8"/>
  </r>
  <r>
    <s v="Поиск билета без выбора рейса"/>
    <x v="7"/>
    <n v="1"/>
    <n v="1"/>
    <n v="150"/>
    <n v="0.4"/>
    <n v="20"/>
    <n v="8"/>
  </r>
  <r>
    <s v="Удаление бронирования "/>
    <x v="0"/>
    <n v="1"/>
    <n v="2"/>
    <n v="100"/>
    <n v="0.6"/>
    <n v="20"/>
    <n v="24"/>
  </r>
  <r>
    <s v="Удаление бронирования "/>
    <x v="5"/>
    <n v="1"/>
    <n v="2"/>
    <n v="100"/>
    <n v="0.6"/>
    <n v="20"/>
    <n v="24"/>
  </r>
  <r>
    <s v="Удаление бронирования "/>
    <x v="10"/>
    <n v="1"/>
    <n v="2"/>
    <n v="100"/>
    <n v="0.6"/>
    <n v="20"/>
    <n v="24"/>
  </r>
  <r>
    <s v="Удаление бронирования "/>
    <x v="11"/>
    <n v="1"/>
    <n v="2"/>
    <n v="100"/>
    <n v="0.6"/>
    <n v="20"/>
    <n v="24"/>
  </r>
  <r>
    <s v="Удаление бронирования "/>
    <x v="4"/>
    <n v="1"/>
    <n v="2"/>
    <n v="100"/>
    <n v="0.6"/>
    <n v="20"/>
    <n v="24"/>
  </r>
  <r>
    <s v="Логин"/>
    <x v="0"/>
    <n v="1"/>
    <n v="1"/>
    <n v="100"/>
    <n v="0.6"/>
    <n v="20"/>
    <n v="12"/>
  </r>
  <r>
    <s v="Логин"/>
    <x v="5"/>
    <n v="1"/>
    <n v="1"/>
    <n v="100"/>
    <n v="0.6"/>
    <n v="20"/>
    <n v="12"/>
  </r>
  <r>
    <s v="Логин"/>
    <x v="4"/>
    <n v="1"/>
    <n v="1"/>
    <n v="100"/>
    <n v="0.6"/>
    <n v="20"/>
    <n v="12"/>
  </r>
  <r>
    <s v="Просмотр путевого листа"/>
    <x v="0"/>
    <n v="1"/>
    <n v="1"/>
    <n v="100"/>
    <n v="0.6"/>
    <n v="20"/>
    <n v="12"/>
  </r>
  <r>
    <s v="Просмотр путевого листа"/>
    <x v="5"/>
    <n v="1"/>
    <n v="1"/>
    <n v="100"/>
    <n v="0.6"/>
    <n v="20"/>
    <n v="12"/>
  </r>
  <r>
    <s v="Просмотр путевого листа"/>
    <x v="10"/>
    <n v="1"/>
    <n v="1"/>
    <n v="100"/>
    <n v="0.6"/>
    <n v="20"/>
    <n v="12"/>
  </r>
  <r>
    <s v="Просмотр путевого листа"/>
    <x v="4"/>
    <n v="1"/>
    <n v="1"/>
    <n v="100"/>
    <n v="0.6"/>
    <n v="20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I1:J14" firstHeaderRow="1" firstDataRow="1" firstDataCol="1"/>
  <pivotFields count="8">
    <pivotField showAll="0"/>
    <pivotField axis="axisRow" showAll="0">
      <items count="16">
        <item x="5"/>
        <item x="8"/>
        <item x="4"/>
        <item x="7"/>
        <item x="9"/>
        <item x="11"/>
        <item x="10"/>
        <item x="0"/>
        <item x="1"/>
        <item x="2"/>
        <item m="1" x="13"/>
        <item m="1" x="14"/>
        <item x="3"/>
        <item x="6"/>
        <item m="1" x="1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2"/>
    </i>
    <i>
      <x v="13"/>
    </i>
    <i t="grand">
      <x/>
    </i>
  </rowItems>
  <colItems count="1">
    <i/>
  </colItems>
  <dataFields count="1">
    <dataField name="Сумма по полю Итого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60"/>
  <sheetViews>
    <sheetView tabSelected="1" topLeftCell="A36" zoomScale="110" zoomScaleNormal="110" workbookViewId="0">
      <selection activeCell="G48" sqref="G48"/>
    </sheetView>
  </sheetViews>
  <sheetFormatPr defaultColWidth="11.42578125" defaultRowHeight="15" x14ac:dyDescent="0.25"/>
  <cols>
    <col min="1" max="1" width="44.5703125" bestFit="1" customWidth="1"/>
    <col min="2" max="2" width="31.42578125" bestFit="1" customWidth="1"/>
    <col min="3" max="3" width="18.140625" customWidth="1"/>
    <col min="4" max="4" width="17.85546875" customWidth="1"/>
    <col min="5" max="5" width="30.28515625" customWidth="1"/>
    <col min="6" max="6" width="14" bestFit="1" customWidth="1"/>
    <col min="7" max="7" width="18.7109375" bestFit="1" customWidth="1"/>
    <col min="8" max="8" width="17" customWidth="1"/>
    <col min="9" max="9" width="48.42578125" bestFit="1" customWidth="1"/>
    <col min="10" max="10" width="21.5703125" bestFit="1" customWidth="1"/>
    <col min="11" max="11" width="18.7109375" customWidth="1"/>
    <col min="12" max="12" width="27.42578125" bestFit="1" customWidth="1"/>
    <col min="13" max="13" width="35.85546875" bestFit="1" customWidth="1"/>
    <col min="19" max="19" width="44" bestFit="1" customWidth="1"/>
  </cols>
  <sheetData>
    <row r="1" spans="1:24" ht="15.75" thickBot="1" x14ac:dyDescent="0.3">
      <c r="A1" t="s">
        <v>36</v>
      </c>
      <c r="B1" t="s">
        <v>37</v>
      </c>
      <c r="C1" t="s">
        <v>38</v>
      </c>
      <c r="D1" t="s">
        <v>42</v>
      </c>
      <c r="E1" t="s">
        <v>52</v>
      </c>
      <c r="F1" t="s">
        <v>53</v>
      </c>
      <c r="G1" t="s">
        <v>54</v>
      </c>
      <c r="H1" t="s">
        <v>7</v>
      </c>
      <c r="I1" s="68" t="s">
        <v>39</v>
      </c>
      <c r="J1" t="s">
        <v>51</v>
      </c>
      <c r="M1" s="64" t="s">
        <v>41</v>
      </c>
      <c r="N1" s="64" t="s">
        <v>43</v>
      </c>
      <c r="O1" s="64" t="s">
        <v>44</v>
      </c>
      <c r="P1" s="64" t="s">
        <v>55</v>
      </c>
      <c r="Q1" s="64" t="s">
        <v>45</v>
      </c>
      <c r="R1" s="64" t="s">
        <v>42</v>
      </c>
      <c r="S1" t="s">
        <v>46</v>
      </c>
      <c r="T1" s="19" t="s">
        <v>47</v>
      </c>
      <c r="U1" s="19" t="s">
        <v>48</v>
      </c>
      <c r="V1" s="34" t="s">
        <v>49</v>
      </c>
      <c r="X1" t="s">
        <v>50</v>
      </c>
    </row>
    <row r="2" spans="1:24" x14ac:dyDescent="0.25">
      <c r="A2" s="49" t="s">
        <v>62</v>
      </c>
      <c r="B2" s="44" t="s">
        <v>63</v>
      </c>
      <c r="C2">
        <v>1</v>
      </c>
      <c r="D2" s="54">
        <f t="shared" ref="D2:D3" si="0">VLOOKUP(A2,$M$1:$W$8,6,FALSE)</f>
        <v>2</v>
      </c>
      <c r="E2" s="56">
        <f>VLOOKUP(A2,$M$1:$W$8,5,FALSE)</f>
        <v>74</v>
      </c>
      <c r="F2" s="18">
        <f>60/E2*C2</f>
        <v>0.81081081081081086</v>
      </c>
      <c r="G2">
        <v>20</v>
      </c>
      <c r="H2" s="17">
        <f>D2*F2*G2</f>
        <v>32.432432432432435</v>
      </c>
      <c r="I2" s="69" t="s">
        <v>0</v>
      </c>
      <c r="J2" s="67">
        <v>146</v>
      </c>
      <c r="K2" s="15"/>
      <c r="M2" s="83" t="s">
        <v>62</v>
      </c>
      <c r="N2" s="62">
        <v>1.381</v>
      </c>
      <c r="O2" s="62">
        <v>20.033999999999999</v>
      </c>
      <c r="P2" s="61">
        <f>N2+O2</f>
        <v>21.414999999999999</v>
      </c>
      <c r="Q2" s="80">
        <v>74</v>
      </c>
      <c r="R2" s="70">
        <v>2</v>
      </c>
      <c r="S2" s="16">
        <f>60/(Q2)</f>
        <v>0.81081081081081086</v>
      </c>
      <c r="T2" s="19">
        <v>20</v>
      </c>
      <c r="U2" s="20">
        <f>ROUND(R2*S2*T2,0)</f>
        <v>32</v>
      </c>
      <c r="V2" s="35">
        <f t="shared" ref="V2:V8" si="1">R2/W$2</f>
        <v>0.2</v>
      </c>
      <c r="W2">
        <f>SUM(R2:R8)</f>
        <v>10</v>
      </c>
    </row>
    <row r="3" spans="1:24" x14ac:dyDescent="0.25">
      <c r="A3" s="46" t="s">
        <v>62</v>
      </c>
      <c r="B3" s="51" t="s">
        <v>65</v>
      </c>
      <c r="C3">
        <v>1</v>
      </c>
      <c r="D3" s="58">
        <f t="shared" si="0"/>
        <v>2</v>
      </c>
      <c r="E3" s="56">
        <f>VLOOKUP(A3,$M$1:$W$8,5,FALSE)</f>
        <v>74</v>
      </c>
      <c r="F3" s="18">
        <f>60/E3*C3</f>
        <v>0.81081081081081086</v>
      </c>
      <c r="G3">
        <v>20</v>
      </c>
      <c r="H3" s="17">
        <f>D3*F3*G3</f>
        <v>32.432432432432435</v>
      </c>
      <c r="I3" s="69" t="s">
        <v>11</v>
      </c>
      <c r="J3" s="67">
        <v>90</v>
      </c>
      <c r="K3" s="15"/>
      <c r="M3" s="64" t="s">
        <v>8</v>
      </c>
      <c r="N3" s="62">
        <v>1.9139999999999999</v>
      </c>
      <c r="O3" s="62">
        <v>30.058</v>
      </c>
      <c r="P3" s="61">
        <f t="shared" ref="P3:P7" si="2">N3+O3</f>
        <v>31.972000000000001</v>
      </c>
      <c r="Q3" s="80">
        <v>40</v>
      </c>
      <c r="R3" s="70">
        <v>2</v>
      </c>
      <c r="S3" s="16">
        <f t="shared" ref="S3" si="3">60/(Q3)</f>
        <v>1.5</v>
      </c>
      <c r="T3" s="19">
        <v>20</v>
      </c>
      <c r="U3" s="20">
        <f t="shared" ref="U3" si="4">ROUND(R3*S3*T3,0)</f>
        <v>60</v>
      </c>
      <c r="V3" s="35">
        <f t="shared" si="1"/>
        <v>0.2</v>
      </c>
    </row>
    <row r="4" spans="1:24" x14ac:dyDescent="0.25">
      <c r="A4" s="46" t="s">
        <v>62</v>
      </c>
      <c r="B4" s="51" t="s">
        <v>64</v>
      </c>
      <c r="C4" s="55">
        <v>1</v>
      </c>
      <c r="D4" s="58">
        <f t="shared" ref="D4:D19" si="5">VLOOKUP(A4,$M$1:$W$8,6,FALSE)</f>
        <v>2</v>
      </c>
      <c r="E4" s="56">
        <f t="shared" ref="E4:E16" si="6">VLOOKUP(A4,$M$1:$W$8,5,FALSE)</f>
        <v>74</v>
      </c>
      <c r="F4" s="57">
        <f t="shared" ref="F4:F20" si="7">60/E4*C4</f>
        <v>0.81081081081081086</v>
      </c>
      <c r="G4" s="55">
        <v>20</v>
      </c>
      <c r="H4" s="56">
        <f t="shared" ref="H4:H20" si="8">D4*F4*G4</f>
        <v>32.432432432432435</v>
      </c>
      <c r="I4" s="69" t="s">
        <v>6</v>
      </c>
      <c r="J4" s="67">
        <v>110.43243243243244</v>
      </c>
      <c r="K4" s="15"/>
      <c r="M4" s="64" t="s">
        <v>66</v>
      </c>
      <c r="N4" s="62">
        <v>1.7410000000000001</v>
      </c>
      <c r="O4" s="62">
        <v>25.041399999999999</v>
      </c>
      <c r="P4" s="61">
        <f t="shared" si="2"/>
        <v>26.782399999999999</v>
      </c>
      <c r="Q4" s="80">
        <v>40</v>
      </c>
      <c r="R4" s="70">
        <v>1</v>
      </c>
      <c r="S4" s="16">
        <f>60/(Q4)</f>
        <v>1.5</v>
      </c>
      <c r="T4" s="19">
        <v>20</v>
      </c>
      <c r="U4" s="20">
        <f>ROUND(R4*S4*T4,0)</f>
        <v>30</v>
      </c>
      <c r="V4" s="35">
        <f t="shared" si="1"/>
        <v>0.1</v>
      </c>
    </row>
    <row r="5" spans="1:24" x14ac:dyDescent="0.25">
      <c r="A5" s="46" t="s">
        <v>62</v>
      </c>
      <c r="B5" s="51" t="s">
        <v>81</v>
      </c>
      <c r="C5" s="55">
        <v>1</v>
      </c>
      <c r="D5" s="58">
        <f t="shared" si="5"/>
        <v>2</v>
      </c>
      <c r="E5" s="56">
        <f t="shared" si="6"/>
        <v>74</v>
      </c>
      <c r="F5" s="57">
        <f t="shared" si="7"/>
        <v>0.81081081081081086</v>
      </c>
      <c r="G5" s="55">
        <v>20</v>
      </c>
      <c r="H5" s="56">
        <f t="shared" si="8"/>
        <v>32.432432432432435</v>
      </c>
      <c r="I5" s="69" t="s">
        <v>10</v>
      </c>
      <c r="J5" s="67">
        <v>98</v>
      </c>
      <c r="K5" s="15"/>
      <c r="M5" s="64" t="s">
        <v>83</v>
      </c>
      <c r="N5" s="62">
        <v>1.5620000000000001</v>
      </c>
      <c r="O5" s="62">
        <v>15.028</v>
      </c>
      <c r="P5" s="61">
        <f>N5+O5</f>
        <v>16.59</v>
      </c>
      <c r="Q5" s="80">
        <v>150</v>
      </c>
      <c r="R5" s="70">
        <v>1</v>
      </c>
      <c r="S5" s="71">
        <f>60/(Q5)</f>
        <v>0.4</v>
      </c>
      <c r="T5" s="77">
        <v>20</v>
      </c>
      <c r="U5" s="78">
        <f>ROUND(R5*S5*T5,0)</f>
        <v>8</v>
      </c>
      <c r="V5" s="79">
        <f t="shared" si="1"/>
        <v>0.1</v>
      </c>
    </row>
    <row r="6" spans="1:24" ht="15.75" thickBot="1" x14ac:dyDescent="0.3">
      <c r="A6" s="50" t="s">
        <v>62</v>
      </c>
      <c r="B6" s="45" t="s">
        <v>6</v>
      </c>
      <c r="C6" s="55">
        <v>1</v>
      </c>
      <c r="D6" s="58">
        <f t="shared" si="5"/>
        <v>2</v>
      </c>
      <c r="E6" s="56">
        <f t="shared" si="6"/>
        <v>74</v>
      </c>
      <c r="F6" s="57">
        <f t="shared" si="7"/>
        <v>0.81081081081081086</v>
      </c>
      <c r="G6" s="55">
        <v>20</v>
      </c>
      <c r="H6" s="56">
        <f t="shared" si="8"/>
        <v>32.432432432432435</v>
      </c>
      <c r="I6" s="69" t="s">
        <v>3</v>
      </c>
      <c r="J6" s="67">
        <v>60</v>
      </c>
      <c r="K6" s="15"/>
      <c r="M6" s="83" t="s">
        <v>9</v>
      </c>
      <c r="N6" s="62">
        <v>1.611</v>
      </c>
      <c r="O6" s="62">
        <v>20.038</v>
      </c>
      <c r="P6" s="61">
        <f t="shared" si="2"/>
        <v>21.649000000000001</v>
      </c>
      <c r="Q6" s="80">
        <v>100</v>
      </c>
      <c r="R6" s="70">
        <v>2</v>
      </c>
      <c r="S6" s="16">
        <f>60/(Q6)</f>
        <v>0.6</v>
      </c>
      <c r="T6" s="19">
        <v>20</v>
      </c>
      <c r="U6" s="20">
        <f>ROUND(R6*S6*T6,0)</f>
        <v>24</v>
      </c>
      <c r="V6" s="35">
        <f t="shared" si="1"/>
        <v>0.2</v>
      </c>
    </row>
    <row r="7" spans="1:24" x14ac:dyDescent="0.25">
      <c r="A7" s="49" t="s">
        <v>8</v>
      </c>
      <c r="B7" s="44" t="s">
        <v>63</v>
      </c>
      <c r="C7" s="55">
        <v>1</v>
      </c>
      <c r="D7" s="54">
        <f t="shared" si="5"/>
        <v>2</v>
      </c>
      <c r="E7" s="56">
        <f t="shared" si="6"/>
        <v>40</v>
      </c>
      <c r="F7" s="57">
        <f t="shared" si="7"/>
        <v>1.5</v>
      </c>
      <c r="G7" s="55">
        <v>20</v>
      </c>
      <c r="H7" s="56">
        <f t="shared" si="8"/>
        <v>60</v>
      </c>
      <c r="I7" s="69" t="s">
        <v>12</v>
      </c>
      <c r="J7" s="67">
        <v>24</v>
      </c>
      <c r="K7" s="15"/>
      <c r="M7" s="83" t="s">
        <v>84</v>
      </c>
      <c r="N7" s="62">
        <v>1.1120000000000001</v>
      </c>
      <c r="O7" s="62">
        <v>10.012</v>
      </c>
      <c r="P7" s="61">
        <f t="shared" si="2"/>
        <v>11.124000000000001</v>
      </c>
      <c r="Q7" s="80">
        <v>100</v>
      </c>
      <c r="R7" s="70">
        <v>1</v>
      </c>
      <c r="S7" s="71">
        <f>60/(Q7)</f>
        <v>0.6</v>
      </c>
      <c r="T7" s="77">
        <v>20</v>
      </c>
      <c r="U7" s="78">
        <f>ROUND(R7*S7*T7,0)</f>
        <v>12</v>
      </c>
      <c r="V7" s="79">
        <f t="shared" si="1"/>
        <v>0.1</v>
      </c>
    </row>
    <row r="8" spans="1:24" x14ac:dyDescent="0.25">
      <c r="A8" s="46" t="s">
        <v>8</v>
      </c>
      <c r="B8" s="51" t="s">
        <v>0</v>
      </c>
      <c r="C8" s="55">
        <v>1</v>
      </c>
      <c r="D8" s="58">
        <f t="shared" si="5"/>
        <v>2</v>
      </c>
      <c r="E8" s="56">
        <f t="shared" si="6"/>
        <v>40</v>
      </c>
      <c r="F8" s="57">
        <f t="shared" si="7"/>
        <v>1.5</v>
      </c>
      <c r="G8" s="55">
        <v>20</v>
      </c>
      <c r="H8" s="56">
        <f t="shared" si="8"/>
        <v>60</v>
      </c>
      <c r="I8" s="69" t="s">
        <v>4</v>
      </c>
      <c r="J8" s="67">
        <v>96</v>
      </c>
      <c r="K8" s="15"/>
      <c r="M8" s="83" t="s">
        <v>82</v>
      </c>
      <c r="N8" s="62">
        <v>1.8340000000000001</v>
      </c>
      <c r="O8" s="62">
        <v>15.028</v>
      </c>
      <c r="P8" s="61">
        <f t="shared" ref="P8" si="9">N8+O8</f>
        <v>16.862000000000002</v>
      </c>
      <c r="Q8" s="80">
        <v>100</v>
      </c>
      <c r="R8" s="70">
        <v>1</v>
      </c>
      <c r="S8" s="71">
        <f>60/(Q8)</f>
        <v>0.6</v>
      </c>
      <c r="T8" s="77">
        <v>20</v>
      </c>
      <c r="U8" s="84">
        <f>ROUND(R8*S8*T8,0)</f>
        <v>12</v>
      </c>
      <c r="V8" s="79">
        <f t="shared" si="1"/>
        <v>0.1</v>
      </c>
    </row>
    <row r="9" spans="1:24" x14ac:dyDescent="0.25">
      <c r="A9" s="46" t="s">
        <v>8</v>
      </c>
      <c r="B9" s="51" t="s">
        <v>78</v>
      </c>
      <c r="C9" s="55">
        <v>1</v>
      </c>
      <c r="D9" s="58">
        <f t="shared" si="5"/>
        <v>2</v>
      </c>
      <c r="E9" s="56">
        <f t="shared" si="6"/>
        <v>40</v>
      </c>
      <c r="F9" s="57">
        <f t="shared" si="7"/>
        <v>1.5</v>
      </c>
      <c r="G9" s="55">
        <v>20</v>
      </c>
      <c r="H9" s="56">
        <f t="shared" si="8"/>
        <v>60</v>
      </c>
      <c r="I9" s="69" t="s">
        <v>63</v>
      </c>
      <c r="J9" s="67">
        <v>178.43243243243245</v>
      </c>
      <c r="K9" s="15"/>
    </row>
    <row r="10" spans="1:24" x14ac:dyDescent="0.25">
      <c r="A10" s="46" t="s">
        <v>8</v>
      </c>
      <c r="B10" s="51" t="s">
        <v>10</v>
      </c>
      <c r="C10" s="55">
        <v>1</v>
      </c>
      <c r="D10" s="58">
        <f t="shared" si="5"/>
        <v>2</v>
      </c>
      <c r="E10" s="56">
        <f t="shared" si="6"/>
        <v>40</v>
      </c>
      <c r="F10" s="57">
        <f t="shared" si="7"/>
        <v>1.5</v>
      </c>
      <c r="G10" s="55">
        <v>20</v>
      </c>
      <c r="H10" s="56">
        <f t="shared" si="8"/>
        <v>60</v>
      </c>
      <c r="I10" s="69" t="s">
        <v>65</v>
      </c>
      <c r="J10" s="67">
        <v>32.432432432432435</v>
      </c>
    </row>
    <row r="11" spans="1:24" x14ac:dyDescent="0.25">
      <c r="A11" s="46" t="s">
        <v>8</v>
      </c>
      <c r="B11" s="51" t="s">
        <v>11</v>
      </c>
      <c r="C11" s="55">
        <v>1</v>
      </c>
      <c r="D11" s="58">
        <f t="shared" si="5"/>
        <v>2</v>
      </c>
      <c r="E11" s="56">
        <f t="shared" si="6"/>
        <v>40</v>
      </c>
      <c r="F11" s="57">
        <f t="shared" si="7"/>
        <v>1.5</v>
      </c>
      <c r="G11" s="55">
        <v>20</v>
      </c>
      <c r="H11" s="56">
        <f t="shared" si="8"/>
        <v>60</v>
      </c>
      <c r="I11" s="69" t="s">
        <v>64</v>
      </c>
      <c r="J11" s="67">
        <v>32.432432432432435</v>
      </c>
    </row>
    <row r="12" spans="1:24" x14ac:dyDescent="0.25">
      <c r="A12" s="46" t="s">
        <v>8</v>
      </c>
      <c r="B12" s="51" t="s">
        <v>3</v>
      </c>
      <c r="C12" s="66">
        <v>1</v>
      </c>
      <c r="D12" s="75">
        <f t="shared" ref="D12" si="10">VLOOKUP(A12,$M$1:$W$8,6,FALSE)</f>
        <v>2</v>
      </c>
      <c r="E12" s="72">
        <f t="shared" ref="E12" si="11">VLOOKUP(A12,$M$1:$W$8,5,FALSE)</f>
        <v>40</v>
      </c>
      <c r="F12" s="73">
        <f t="shared" ref="F12" si="12">60/E12*C12</f>
        <v>1.5</v>
      </c>
      <c r="G12" s="66">
        <v>20</v>
      </c>
      <c r="H12" s="72">
        <f t="shared" ref="H12" si="13">D12*F12*G12</f>
        <v>60</v>
      </c>
      <c r="I12" s="69" t="s">
        <v>81</v>
      </c>
      <c r="J12" s="67">
        <v>32.432432432432435</v>
      </c>
    </row>
    <row r="13" spans="1:24" ht="15.75" thickBot="1" x14ac:dyDescent="0.3">
      <c r="A13" s="46" t="s">
        <v>8</v>
      </c>
      <c r="B13" s="51" t="s">
        <v>4</v>
      </c>
      <c r="C13" s="55">
        <v>1</v>
      </c>
      <c r="D13" s="58">
        <f t="shared" si="5"/>
        <v>2</v>
      </c>
      <c r="E13" s="56">
        <f t="shared" si="6"/>
        <v>40</v>
      </c>
      <c r="F13" s="57">
        <f t="shared" si="7"/>
        <v>1.5</v>
      </c>
      <c r="G13" s="55">
        <v>20</v>
      </c>
      <c r="H13" s="56">
        <f t="shared" si="8"/>
        <v>60</v>
      </c>
      <c r="I13" s="69" t="s">
        <v>78</v>
      </c>
      <c r="J13" s="67">
        <v>98</v>
      </c>
    </row>
    <row r="14" spans="1:24" x14ac:dyDescent="0.25">
      <c r="A14" s="49" t="s">
        <v>66</v>
      </c>
      <c r="B14" s="44" t="s">
        <v>63</v>
      </c>
      <c r="C14" s="55">
        <v>1</v>
      </c>
      <c r="D14" s="54">
        <f t="shared" si="5"/>
        <v>1</v>
      </c>
      <c r="E14" s="56">
        <f t="shared" si="6"/>
        <v>40</v>
      </c>
      <c r="F14" s="57">
        <f t="shared" si="7"/>
        <v>1.5</v>
      </c>
      <c r="G14" s="55">
        <v>20</v>
      </c>
      <c r="H14" s="56">
        <f t="shared" si="8"/>
        <v>30</v>
      </c>
      <c r="I14" s="69" t="s">
        <v>40</v>
      </c>
      <c r="J14" s="67">
        <v>998.16216216216219</v>
      </c>
    </row>
    <row r="15" spans="1:24" x14ac:dyDescent="0.25">
      <c r="A15" s="46" t="s">
        <v>66</v>
      </c>
      <c r="B15" s="51" t="s">
        <v>0</v>
      </c>
      <c r="C15" s="55">
        <v>1</v>
      </c>
      <c r="D15" s="58">
        <f t="shared" si="5"/>
        <v>1</v>
      </c>
      <c r="E15" s="56">
        <f t="shared" si="6"/>
        <v>40</v>
      </c>
      <c r="F15" s="57">
        <f t="shared" si="7"/>
        <v>1.5</v>
      </c>
      <c r="G15" s="55">
        <v>20</v>
      </c>
      <c r="H15" s="56">
        <f t="shared" si="8"/>
        <v>30</v>
      </c>
    </row>
    <row r="16" spans="1:24" x14ac:dyDescent="0.25">
      <c r="A16" s="46" t="s">
        <v>66</v>
      </c>
      <c r="B16" s="51" t="s">
        <v>78</v>
      </c>
      <c r="C16" s="55">
        <v>1</v>
      </c>
      <c r="D16" s="58">
        <f t="shared" si="5"/>
        <v>1</v>
      </c>
      <c r="E16" s="56">
        <f t="shared" si="6"/>
        <v>40</v>
      </c>
      <c r="F16" s="57">
        <f t="shared" si="7"/>
        <v>1.5</v>
      </c>
      <c r="G16" s="55">
        <v>20</v>
      </c>
      <c r="H16" s="56">
        <f t="shared" si="8"/>
        <v>30</v>
      </c>
    </row>
    <row r="17" spans="1:18" x14ac:dyDescent="0.25">
      <c r="A17" s="46" t="s">
        <v>66</v>
      </c>
      <c r="B17" s="51" t="s">
        <v>10</v>
      </c>
      <c r="C17" s="66">
        <v>1</v>
      </c>
      <c r="D17" s="75">
        <f t="shared" ref="D17:D18" si="14">VLOOKUP(A17,$M$1:$W$8,6,FALSE)</f>
        <v>1</v>
      </c>
      <c r="E17" s="72">
        <f t="shared" ref="E17:E18" si="15">VLOOKUP(A17,$M$1:$W$8,5,FALSE)</f>
        <v>40</v>
      </c>
      <c r="F17" s="73">
        <f t="shared" ref="F17:F18" si="16">60/E17*C17</f>
        <v>1.5</v>
      </c>
      <c r="G17" s="66">
        <v>20</v>
      </c>
      <c r="H17" s="72">
        <f t="shared" ref="H17:H18" si="17">D17*F17*G17</f>
        <v>30</v>
      </c>
    </row>
    <row r="18" spans="1:18" x14ac:dyDescent="0.25">
      <c r="A18" s="46" t="s">
        <v>66</v>
      </c>
      <c r="B18" s="51" t="s">
        <v>11</v>
      </c>
      <c r="C18" s="66">
        <v>1</v>
      </c>
      <c r="D18" s="75">
        <f t="shared" si="14"/>
        <v>1</v>
      </c>
      <c r="E18" s="72">
        <f t="shared" si="15"/>
        <v>40</v>
      </c>
      <c r="F18" s="73">
        <f t="shared" si="16"/>
        <v>1.5</v>
      </c>
      <c r="G18" s="66">
        <v>20</v>
      </c>
      <c r="H18" s="72">
        <f t="shared" si="17"/>
        <v>30</v>
      </c>
    </row>
    <row r="19" spans="1:18" ht="15.75" thickBot="1" x14ac:dyDescent="0.3">
      <c r="A19" s="50" t="s">
        <v>66</v>
      </c>
      <c r="B19" s="45" t="s">
        <v>6</v>
      </c>
      <c r="C19" s="55">
        <v>1</v>
      </c>
      <c r="D19" s="58">
        <f t="shared" si="5"/>
        <v>1</v>
      </c>
      <c r="E19" s="56">
        <f>VLOOKUP(A19,$M$1:$W$8,5,FALSE)</f>
        <v>40</v>
      </c>
      <c r="F19" s="57">
        <f t="shared" si="7"/>
        <v>1.5</v>
      </c>
      <c r="G19" s="55">
        <v>20</v>
      </c>
      <c r="H19" s="56">
        <f t="shared" si="8"/>
        <v>30</v>
      </c>
    </row>
    <row r="20" spans="1:18" x14ac:dyDescent="0.25">
      <c r="A20" s="89" t="s">
        <v>83</v>
      </c>
      <c r="B20" s="44" t="s">
        <v>63</v>
      </c>
      <c r="C20" s="66">
        <v>1</v>
      </c>
      <c r="D20" s="74">
        <f>VLOOKUP(A20,$M$1:$W$8,6,FALSE)</f>
        <v>1</v>
      </c>
      <c r="E20" s="72">
        <f>VLOOKUP(A20,$M$1:$W$8,5,FALSE)</f>
        <v>150</v>
      </c>
      <c r="F20" s="73">
        <f t="shared" si="7"/>
        <v>0.4</v>
      </c>
      <c r="G20" s="66">
        <v>20</v>
      </c>
      <c r="H20" s="72">
        <f t="shared" si="8"/>
        <v>8</v>
      </c>
    </row>
    <row r="21" spans="1:18" x14ac:dyDescent="0.25">
      <c r="A21" s="87" t="s">
        <v>83</v>
      </c>
      <c r="B21" s="88" t="s">
        <v>0</v>
      </c>
      <c r="C21" s="66">
        <v>1</v>
      </c>
      <c r="D21" s="75">
        <f t="shared" ref="D21:D23" si="18">VLOOKUP(A21,$M$1:$W$8,6,FALSE)</f>
        <v>1</v>
      </c>
      <c r="E21" s="72">
        <f t="shared" ref="E21:E23" si="19">VLOOKUP(A21,$M$1:$W$8,5,FALSE)</f>
        <v>150</v>
      </c>
      <c r="F21" s="73">
        <f t="shared" ref="F21:F23" si="20">60/E21*C21</f>
        <v>0.4</v>
      </c>
      <c r="G21" s="66">
        <v>20</v>
      </c>
      <c r="H21" s="72">
        <f t="shared" ref="H21:H23" si="21">D21*F21*G21</f>
        <v>8</v>
      </c>
    </row>
    <row r="22" spans="1:18" x14ac:dyDescent="0.25">
      <c r="A22" s="46" t="s">
        <v>83</v>
      </c>
      <c r="B22" s="51" t="s">
        <v>78</v>
      </c>
      <c r="C22" s="66">
        <v>1</v>
      </c>
      <c r="D22" s="75">
        <f t="shared" si="18"/>
        <v>1</v>
      </c>
      <c r="E22" s="72">
        <f t="shared" si="19"/>
        <v>150</v>
      </c>
      <c r="F22" s="73">
        <f t="shared" si="20"/>
        <v>0.4</v>
      </c>
      <c r="G22" s="66">
        <v>20</v>
      </c>
      <c r="H22" s="72">
        <f t="shared" si="21"/>
        <v>8</v>
      </c>
    </row>
    <row r="23" spans="1:18" s="53" customFormat="1" ht="15.75" thickBot="1" x14ac:dyDescent="0.3">
      <c r="A23" s="46" t="s">
        <v>83</v>
      </c>
      <c r="B23" s="51" t="s">
        <v>10</v>
      </c>
      <c r="C23" s="66">
        <v>1</v>
      </c>
      <c r="D23" s="75">
        <f t="shared" si="18"/>
        <v>1</v>
      </c>
      <c r="E23" s="72">
        <f t="shared" si="19"/>
        <v>150</v>
      </c>
      <c r="F23" s="73">
        <f t="shared" si="20"/>
        <v>0.4</v>
      </c>
      <c r="G23" s="66">
        <v>20</v>
      </c>
      <c r="H23" s="72">
        <f t="shared" si="21"/>
        <v>8</v>
      </c>
      <c r="M23"/>
      <c r="N23"/>
      <c r="O23"/>
      <c r="P23"/>
      <c r="Q23"/>
      <c r="R23"/>
    </row>
    <row r="24" spans="1:18" s="53" customFormat="1" x14ac:dyDescent="0.25">
      <c r="A24" s="49" t="s">
        <v>9</v>
      </c>
      <c r="B24" s="47" t="s">
        <v>63</v>
      </c>
      <c r="C24" s="55">
        <v>1</v>
      </c>
      <c r="D24" s="54">
        <f t="shared" ref="D24:D26" si="22">VLOOKUP(A24,$M$1:$W$8,6,FALSE)</f>
        <v>2</v>
      </c>
      <c r="E24" s="56">
        <f t="shared" ref="E24:E26" si="23">VLOOKUP(A24,$M$1:$W$8,5,FALSE)</f>
        <v>100</v>
      </c>
      <c r="F24" s="57">
        <f t="shared" ref="F24:F26" si="24">60/E24*C24</f>
        <v>0.6</v>
      </c>
      <c r="G24" s="55">
        <v>20</v>
      </c>
      <c r="H24" s="56">
        <f t="shared" ref="H24:H26" si="25">D24*F24*G24</f>
        <v>24</v>
      </c>
    </row>
    <row r="25" spans="1:18" x14ac:dyDescent="0.25">
      <c r="A25" s="46" t="s">
        <v>9</v>
      </c>
      <c r="B25" s="48" t="s">
        <v>0</v>
      </c>
      <c r="C25" s="55">
        <v>1</v>
      </c>
      <c r="D25" s="58">
        <f t="shared" si="22"/>
        <v>2</v>
      </c>
      <c r="E25" s="56">
        <f t="shared" si="23"/>
        <v>100</v>
      </c>
      <c r="F25" s="65">
        <f t="shared" si="24"/>
        <v>0.6</v>
      </c>
      <c r="G25" s="63">
        <v>20</v>
      </c>
      <c r="H25" s="56">
        <f t="shared" si="25"/>
        <v>24</v>
      </c>
      <c r="M25" s="53"/>
      <c r="N25" s="53"/>
      <c r="O25" s="53"/>
      <c r="P25" s="53"/>
      <c r="Q25" s="53"/>
      <c r="R25" s="53"/>
    </row>
    <row r="26" spans="1:18" x14ac:dyDescent="0.25">
      <c r="A26" s="46" t="s">
        <v>9</v>
      </c>
      <c r="B26" s="48" t="s">
        <v>4</v>
      </c>
      <c r="C26" s="55">
        <v>1</v>
      </c>
      <c r="D26" s="58">
        <f t="shared" si="22"/>
        <v>2</v>
      </c>
      <c r="E26" s="56">
        <f t="shared" si="23"/>
        <v>100</v>
      </c>
      <c r="F26" s="65">
        <f t="shared" si="24"/>
        <v>0.6</v>
      </c>
      <c r="G26" s="55">
        <v>20</v>
      </c>
      <c r="H26" s="56">
        <f t="shared" si="25"/>
        <v>24</v>
      </c>
    </row>
    <row r="27" spans="1:18" x14ac:dyDescent="0.25">
      <c r="A27" s="46" t="s">
        <v>9</v>
      </c>
      <c r="B27" s="48" t="s">
        <v>12</v>
      </c>
      <c r="C27" s="55">
        <v>1</v>
      </c>
      <c r="D27" s="75">
        <f t="shared" ref="D27:D35" si="26">VLOOKUP(A27,$M$1:$W$8,6,FALSE)</f>
        <v>2</v>
      </c>
      <c r="E27" s="56">
        <f t="shared" ref="E27:E35" si="27">VLOOKUP(A27,$M$1:$W$8,5,FALSE)</f>
        <v>100</v>
      </c>
      <c r="F27" s="65">
        <f t="shared" ref="F27:F35" si="28">60/E27*C27</f>
        <v>0.6</v>
      </c>
      <c r="G27" s="55">
        <v>20</v>
      </c>
      <c r="H27" s="56">
        <f t="shared" ref="H27:H35" si="29">D27*F27*G27</f>
        <v>24</v>
      </c>
    </row>
    <row r="28" spans="1:18" ht="15.75" thickBot="1" x14ac:dyDescent="0.3">
      <c r="A28" s="50" t="s">
        <v>9</v>
      </c>
      <c r="B28" s="43" t="s">
        <v>6</v>
      </c>
      <c r="C28" s="55">
        <v>1</v>
      </c>
      <c r="D28" s="58">
        <f t="shared" si="26"/>
        <v>2</v>
      </c>
      <c r="E28" s="56">
        <f t="shared" si="27"/>
        <v>100</v>
      </c>
      <c r="F28" s="65">
        <f t="shared" si="28"/>
        <v>0.6</v>
      </c>
      <c r="G28" s="55">
        <v>20</v>
      </c>
      <c r="H28" s="56">
        <f t="shared" si="29"/>
        <v>24</v>
      </c>
    </row>
    <row r="29" spans="1:18" x14ac:dyDescent="0.25">
      <c r="A29" s="85" t="s">
        <v>84</v>
      </c>
      <c r="B29" s="86" t="s">
        <v>63</v>
      </c>
      <c r="C29" s="66">
        <v>1</v>
      </c>
      <c r="D29" s="74">
        <f t="shared" si="26"/>
        <v>1</v>
      </c>
      <c r="E29" s="72">
        <f t="shared" si="27"/>
        <v>100</v>
      </c>
      <c r="F29" s="65">
        <f t="shared" si="28"/>
        <v>0.6</v>
      </c>
      <c r="G29" s="66">
        <v>20</v>
      </c>
      <c r="H29" s="72">
        <f t="shared" si="29"/>
        <v>12</v>
      </c>
    </row>
    <row r="30" spans="1:18" x14ac:dyDescent="0.25">
      <c r="A30" s="90" t="s">
        <v>84</v>
      </c>
      <c r="B30" s="48" t="s">
        <v>0</v>
      </c>
      <c r="C30" s="66">
        <v>1</v>
      </c>
      <c r="D30" s="75">
        <f t="shared" si="26"/>
        <v>1</v>
      </c>
      <c r="E30" s="72">
        <f t="shared" si="27"/>
        <v>100</v>
      </c>
      <c r="F30" s="65">
        <f t="shared" si="28"/>
        <v>0.6</v>
      </c>
      <c r="G30" s="66">
        <v>20</v>
      </c>
      <c r="H30" s="72">
        <f t="shared" si="29"/>
        <v>12</v>
      </c>
    </row>
    <row r="31" spans="1:18" ht="15.75" thickBot="1" x14ac:dyDescent="0.3">
      <c r="A31" s="91" t="s">
        <v>84</v>
      </c>
      <c r="B31" s="86" t="s">
        <v>6</v>
      </c>
      <c r="C31" s="66">
        <v>1</v>
      </c>
      <c r="D31" s="75">
        <f t="shared" si="26"/>
        <v>1</v>
      </c>
      <c r="E31" s="72">
        <f t="shared" si="27"/>
        <v>100</v>
      </c>
      <c r="F31" s="65">
        <f t="shared" si="28"/>
        <v>0.6</v>
      </c>
      <c r="G31" s="66">
        <v>20</v>
      </c>
      <c r="H31" s="72">
        <f t="shared" si="29"/>
        <v>12</v>
      </c>
    </row>
    <row r="32" spans="1:18" x14ac:dyDescent="0.25">
      <c r="A32" s="49" t="s">
        <v>82</v>
      </c>
      <c r="B32" s="47" t="s">
        <v>63</v>
      </c>
      <c r="C32" s="55">
        <v>1</v>
      </c>
      <c r="D32" s="74">
        <f t="shared" si="26"/>
        <v>1</v>
      </c>
      <c r="E32" s="56">
        <f t="shared" si="27"/>
        <v>100</v>
      </c>
      <c r="F32" s="65">
        <f t="shared" si="28"/>
        <v>0.6</v>
      </c>
      <c r="G32" s="55">
        <v>20</v>
      </c>
      <c r="H32" s="56">
        <f t="shared" si="29"/>
        <v>12</v>
      </c>
    </row>
    <row r="33" spans="1:9" x14ac:dyDescent="0.25">
      <c r="A33" s="46" t="s">
        <v>82</v>
      </c>
      <c r="B33" s="48" t="s">
        <v>0</v>
      </c>
      <c r="C33" s="55">
        <v>1</v>
      </c>
      <c r="D33" s="75">
        <f>VLOOKUP(A33,$M$1:$W$8,6,FALSE)</f>
        <v>1</v>
      </c>
      <c r="E33" s="56">
        <f>VLOOKUP(A33,$M$1:$W$8,5,FALSE)</f>
        <v>100</v>
      </c>
      <c r="F33" s="65">
        <f t="shared" si="28"/>
        <v>0.6</v>
      </c>
      <c r="G33" s="55">
        <v>20</v>
      </c>
      <c r="H33" s="56">
        <f t="shared" si="29"/>
        <v>12</v>
      </c>
    </row>
    <row r="34" spans="1:9" x14ac:dyDescent="0.25">
      <c r="A34" s="81" t="s">
        <v>82</v>
      </c>
      <c r="B34" s="82" t="s">
        <v>4</v>
      </c>
      <c r="C34" s="66">
        <v>1</v>
      </c>
      <c r="D34" s="75">
        <f>VLOOKUP(A34,$M$1:$W$8,6,FALSE)</f>
        <v>1</v>
      </c>
      <c r="E34" s="72">
        <f>VLOOKUP(A34,$M$1:$W$8,5,FALSE)</f>
        <v>100</v>
      </c>
      <c r="F34" s="65">
        <f t="shared" si="28"/>
        <v>0.6</v>
      </c>
      <c r="G34" s="66">
        <v>20</v>
      </c>
      <c r="H34" s="72">
        <f t="shared" si="29"/>
        <v>12</v>
      </c>
    </row>
    <row r="35" spans="1:9" ht="15.75" thickBot="1" x14ac:dyDescent="0.3">
      <c r="A35" s="50" t="s">
        <v>82</v>
      </c>
      <c r="B35" s="43" t="s">
        <v>6</v>
      </c>
      <c r="C35" s="55">
        <v>1</v>
      </c>
      <c r="D35" s="76">
        <f t="shared" si="26"/>
        <v>1</v>
      </c>
      <c r="E35" s="56">
        <f t="shared" si="27"/>
        <v>100</v>
      </c>
      <c r="F35" s="65">
        <f t="shared" si="28"/>
        <v>0.6</v>
      </c>
      <c r="G35" s="63">
        <v>20</v>
      </c>
      <c r="H35" s="56">
        <f t="shared" si="29"/>
        <v>12</v>
      </c>
    </row>
    <row r="37" spans="1:9" ht="15.75" thickBot="1" x14ac:dyDescent="0.3"/>
    <row r="38" spans="1:9" x14ac:dyDescent="0.25">
      <c r="A38" s="95" t="s">
        <v>80</v>
      </c>
      <c r="B38" s="96"/>
    </row>
    <row r="39" spans="1:9" ht="93.75" x14ac:dyDescent="0.3">
      <c r="A39" s="37" t="s">
        <v>79</v>
      </c>
      <c r="B39" s="38" t="s">
        <v>59</v>
      </c>
      <c r="C39" s="36" t="s">
        <v>57</v>
      </c>
      <c r="D39" s="28" t="s">
        <v>58</v>
      </c>
      <c r="E39" s="25"/>
      <c r="F39" s="28" t="s">
        <v>56</v>
      </c>
      <c r="G39" s="28" t="s">
        <v>60</v>
      </c>
      <c r="H39" s="28" t="s">
        <v>61</v>
      </c>
    </row>
    <row r="40" spans="1:9" ht="18.75" x14ac:dyDescent="0.25">
      <c r="A40" s="37" t="s">
        <v>63</v>
      </c>
      <c r="B40" s="39">
        <v>520</v>
      </c>
      <c r="C40" s="26">
        <f t="shared" ref="C40:C51" si="30">GETPIVOTDATA("Итого",$I$1,"transaction rq",A40)*3</f>
        <v>535.29729729729729</v>
      </c>
      <c r="D40" s="27">
        <f t="shared" ref="D40:D52" si="31">1-B40/C40</f>
        <v>2.857719882863774E-2</v>
      </c>
      <c r="E40" s="66" t="s">
        <v>85</v>
      </c>
      <c r="F40" s="92">
        <f>C40/3</f>
        <v>178.43243243243242</v>
      </c>
      <c r="G40" s="21">
        <v>179</v>
      </c>
      <c r="H40" s="23">
        <f t="shared" ref="H40:H51" si="32">1-F40/G40</f>
        <v>3.1707685338970837E-3</v>
      </c>
    </row>
    <row r="41" spans="1:9" ht="18.75" x14ac:dyDescent="0.25">
      <c r="A41" s="40" t="s">
        <v>0</v>
      </c>
      <c r="B41" s="39">
        <v>422</v>
      </c>
      <c r="C41" s="26">
        <f t="shared" si="30"/>
        <v>438</v>
      </c>
      <c r="D41" s="27">
        <f t="shared" si="31"/>
        <v>3.6529680365296802E-2</v>
      </c>
      <c r="E41" s="66" t="s">
        <v>23</v>
      </c>
      <c r="F41" s="92">
        <f t="shared" ref="F41:F51" si="33">C41/3</f>
        <v>146</v>
      </c>
      <c r="G41" s="21">
        <v>146</v>
      </c>
      <c r="H41" s="23">
        <f t="shared" si="32"/>
        <v>0</v>
      </c>
    </row>
    <row r="42" spans="1:9" ht="37.5" x14ac:dyDescent="0.25">
      <c r="A42" s="40" t="s">
        <v>78</v>
      </c>
      <c r="B42" s="39">
        <v>305</v>
      </c>
      <c r="C42" s="60">
        <f t="shared" si="30"/>
        <v>294</v>
      </c>
      <c r="D42" s="52">
        <f t="shared" si="31"/>
        <v>-3.7414965986394488E-2</v>
      </c>
      <c r="E42" s="66" t="s">
        <v>86</v>
      </c>
      <c r="F42" s="92">
        <f t="shared" si="33"/>
        <v>98</v>
      </c>
      <c r="G42" s="21">
        <v>98</v>
      </c>
      <c r="H42" s="23">
        <f t="shared" si="32"/>
        <v>0</v>
      </c>
    </row>
    <row r="43" spans="1:9" ht="37.5" x14ac:dyDescent="0.25">
      <c r="A43" s="40" t="s">
        <v>10</v>
      </c>
      <c r="B43" s="39">
        <v>282</v>
      </c>
      <c r="C43" s="60">
        <f t="shared" si="30"/>
        <v>294</v>
      </c>
      <c r="D43" s="22">
        <f t="shared" si="31"/>
        <v>4.081632653061229E-2</v>
      </c>
      <c r="E43" s="66" t="s">
        <v>87</v>
      </c>
      <c r="F43" s="92">
        <f t="shared" si="33"/>
        <v>98</v>
      </c>
      <c r="G43" s="21">
        <v>98</v>
      </c>
      <c r="H43" s="23">
        <f t="shared" si="32"/>
        <v>0</v>
      </c>
      <c r="I43" s="31"/>
    </row>
    <row r="44" spans="1:9" ht="18.75" x14ac:dyDescent="0.25">
      <c r="A44" s="40" t="s">
        <v>11</v>
      </c>
      <c r="B44" s="39">
        <v>270</v>
      </c>
      <c r="C44" s="26">
        <f t="shared" si="30"/>
        <v>270</v>
      </c>
      <c r="D44" s="22">
        <f t="shared" si="31"/>
        <v>0</v>
      </c>
      <c r="E44" s="66" t="s">
        <v>88</v>
      </c>
      <c r="F44" s="92">
        <f t="shared" si="33"/>
        <v>90</v>
      </c>
      <c r="G44" s="21">
        <v>90</v>
      </c>
      <c r="H44" s="23">
        <f t="shared" si="32"/>
        <v>0</v>
      </c>
    </row>
    <row r="45" spans="1:9" ht="18.75" x14ac:dyDescent="0.25">
      <c r="A45" s="40" t="s">
        <v>3</v>
      </c>
      <c r="B45" s="39">
        <v>175</v>
      </c>
      <c r="C45" s="26">
        <f t="shared" si="30"/>
        <v>180</v>
      </c>
      <c r="D45" s="22">
        <f t="shared" si="31"/>
        <v>2.777777777777779E-2</v>
      </c>
      <c r="E45" s="66" t="s">
        <v>89</v>
      </c>
      <c r="F45" s="92">
        <f t="shared" si="33"/>
        <v>60</v>
      </c>
      <c r="G45" s="21">
        <v>60</v>
      </c>
      <c r="H45" s="23">
        <f t="shared" si="32"/>
        <v>0</v>
      </c>
      <c r="I45" s="29"/>
    </row>
    <row r="46" spans="1:9" ht="18.75" x14ac:dyDescent="0.25">
      <c r="A46" s="40" t="s">
        <v>4</v>
      </c>
      <c r="B46" s="39">
        <v>280</v>
      </c>
      <c r="C46" s="26">
        <f t="shared" si="30"/>
        <v>288</v>
      </c>
      <c r="D46" s="22">
        <f t="shared" si="31"/>
        <v>2.777777777777779E-2</v>
      </c>
      <c r="E46" s="66" t="s">
        <v>90</v>
      </c>
      <c r="F46" s="92">
        <f t="shared" si="33"/>
        <v>96</v>
      </c>
      <c r="G46" s="21">
        <v>96</v>
      </c>
      <c r="H46" s="23">
        <f t="shared" si="32"/>
        <v>0</v>
      </c>
      <c r="I46" s="29"/>
    </row>
    <row r="47" spans="1:9" ht="18.75" x14ac:dyDescent="0.25">
      <c r="A47" s="40" t="s">
        <v>12</v>
      </c>
      <c r="B47" s="39">
        <v>73</v>
      </c>
      <c r="C47" s="60">
        <f t="shared" si="30"/>
        <v>72</v>
      </c>
      <c r="D47" s="22">
        <f t="shared" si="31"/>
        <v>-1.388888888888884E-2</v>
      </c>
      <c r="E47" s="66" t="s">
        <v>91</v>
      </c>
      <c r="F47" s="92">
        <f t="shared" si="33"/>
        <v>24</v>
      </c>
      <c r="G47" s="21">
        <v>24</v>
      </c>
      <c r="H47" s="23">
        <f t="shared" si="32"/>
        <v>0</v>
      </c>
      <c r="I47" s="29"/>
    </row>
    <row r="48" spans="1:9" ht="18.75" x14ac:dyDescent="0.25">
      <c r="A48" s="40" t="s">
        <v>6</v>
      </c>
      <c r="B48" s="39">
        <v>326</v>
      </c>
      <c r="C48" s="26">
        <f t="shared" si="30"/>
        <v>331.29729729729729</v>
      </c>
      <c r="D48" s="22">
        <f t="shared" si="31"/>
        <v>1.5989557839778068E-2</v>
      </c>
      <c r="E48" s="66" t="s">
        <v>92</v>
      </c>
      <c r="F48" s="92">
        <f t="shared" si="33"/>
        <v>110.43243243243244</v>
      </c>
      <c r="G48" s="21">
        <v>111</v>
      </c>
      <c r="H48" s="23">
        <f t="shared" si="32"/>
        <v>5.1132213294374784E-3</v>
      </c>
      <c r="I48" s="29"/>
    </row>
    <row r="49" spans="1:9" ht="18.75" x14ac:dyDescent="0.25">
      <c r="A49" s="40" t="s">
        <v>65</v>
      </c>
      <c r="B49" s="39">
        <v>97</v>
      </c>
      <c r="C49" s="26">
        <f t="shared" si="30"/>
        <v>97.297297297297305</v>
      </c>
      <c r="D49" s="22">
        <f t="shared" si="31"/>
        <v>3.0555555555555891E-3</v>
      </c>
      <c r="E49" s="66" t="s">
        <v>93</v>
      </c>
      <c r="F49" s="92">
        <f t="shared" si="33"/>
        <v>32.432432432432435</v>
      </c>
      <c r="G49" s="21">
        <v>34</v>
      </c>
      <c r="H49" s="23">
        <f t="shared" si="32"/>
        <v>4.610492845786951E-2</v>
      </c>
      <c r="I49" s="29"/>
    </row>
    <row r="50" spans="1:9" ht="18.75" x14ac:dyDescent="0.25">
      <c r="A50" s="40" t="s">
        <v>64</v>
      </c>
      <c r="B50" s="39">
        <v>97</v>
      </c>
      <c r="C50" s="26">
        <f t="shared" si="30"/>
        <v>97.297297297297305</v>
      </c>
      <c r="D50" s="22">
        <f t="shared" si="31"/>
        <v>3.0555555555555891E-3</v>
      </c>
      <c r="E50" s="66" t="s">
        <v>94</v>
      </c>
      <c r="F50" s="92">
        <f t="shared" si="33"/>
        <v>32.432432432432435</v>
      </c>
      <c r="G50" s="21">
        <v>34</v>
      </c>
      <c r="H50" s="23">
        <f t="shared" si="32"/>
        <v>4.610492845786951E-2</v>
      </c>
    </row>
    <row r="51" spans="1:9" ht="37.5" x14ac:dyDescent="0.25">
      <c r="A51" s="40" t="s">
        <v>81</v>
      </c>
      <c r="B51" s="39">
        <v>97</v>
      </c>
      <c r="C51" s="60">
        <f t="shared" si="30"/>
        <v>97.297297297297305</v>
      </c>
      <c r="D51" s="59">
        <f t="shared" si="31"/>
        <v>3.0555555555555891E-3</v>
      </c>
      <c r="E51" s="66" t="s">
        <v>95</v>
      </c>
      <c r="F51" s="92">
        <f t="shared" si="33"/>
        <v>32.432432432432435</v>
      </c>
      <c r="G51" s="92">
        <v>34</v>
      </c>
      <c r="H51" s="94">
        <f t="shared" si="32"/>
        <v>4.610492845786951E-2</v>
      </c>
    </row>
    <row r="52" spans="1:9" ht="19.5" thickBot="1" x14ac:dyDescent="0.3">
      <c r="A52" s="41" t="s">
        <v>7</v>
      </c>
      <c r="B52" s="42">
        <f>SUM(B40:B51)</f>
        <v>2944</v>
      </c>
      <c r="C52" s="24">
        <f>SUM(C40:C51)</f>
        <v>2994.4864864864876</v>
      </c>
      <c r="D52" s="22">
        <f t="shared" si="31"/>
        <v>1.685981443373441E-2</v>
      </c>
    </row>
    <row r="54" spans="1:9" x14ac:dyDescent="0.25">
      <c r="C54" s="31" t="s">
        <v>77</v>
      </c>
      <c r="D54" s="31"/>
      <c r="E54" s="31"/>
      <c r="F54" s="31"/>
      <c r="G54" s="31"/>
      <c r="H54" s="31"/>
    </row>
    <row r="55" spans="1:9" x14ac:dyDescent="0.25">
      <c r="C55" t="s">
        <v>76</v>
      </c>
      <c r="D55" t="s">
        <v>72</v>
      </c>
      <c r="E55" t="s">
        <v>74</v>
      </c>
      <c r="F55" t="s">
        <v>73</v>
      </c>
      <c r="G55" t="s">
        <v>75</v>
      </c>
    </row>
    <row r="56" spans="1:9" x14ac:dyDescent="0.25">
      <c r="A56" t="s">
        <v>67</v>
      </c>
      <c r="B56" s="32">
        <f>124/3</f>
        <v>41.333333333333336</v>
      </c>
      <c r="C56" s="32">
        <v>45</v>
      </c>
      <c r="D56" s="32">
        <f>60/C56</f>
        <v>1.3333333333333333</v>
      </c>
      <c r="E56" s="32">
        <v>20</v>
      </c>
      <c r="F56" s="30">
        <f>B56/(D56*E56)</f>
        <v>1.5500000000000003</v>
      </c>
      <c r="G56">
        <f>ROUND(F56,0)</f>
        <v>2</v>
      </c>
      <c r="H56">
        <f>G56*D56*E56</f>
        <v>53.333333333333329</v>
      </c>
    </row>
    <row r="57" spans="1:9" x14ac:dyDescent="0.25">
      <c r="A57" t="s">
        <v>68</v>
      </c>
      <c r="B57" s="32">
        <f>150/3</f>
        <v>50</v>
      </c>
      <c r="C57" s="32">
        <v>20</v>
      </c>
      <c r="D57" s="32">
        <f>60/C57</f>
        <v>3</v>
      </c>
      <c r="E57" s="32">
        <v>20</v>
      </c>
      <c r="F57" s="30">
        <f>B57/(D57*E57)</f>
        <v>0.83333333333333337</v>
      </c>
      <c r="G57">
        <f t="shared" ref="G57:G60" si="34">ROUND(F57,0)</f>
        <v>1</v>
      </c>
      <c r="H57">
        <f>G57*D57*E57</f>
        <v>60</v>
      </c>
    </row>
    <row r="58" spans="1:9" x14ac:dyDescent="0.25">
      <c r="A58" t="s">
        <v>69</v>
      </c>
      <c r="B58" s="33">
        <f>30/3</f>
        <v>10</v>
      </c>
      <c r="C58" s="33">
        <v>30</v>
      </c>
      <c r="D58" s="32">
        <f>60/C58</f>
        <v>2</v>
      </c>
      <c r="E58" s="32">
        <v>20</v>
      </c>
      <c r="F58" s="30">
        <f>B58/(D58*E58)</f>
        <v>0.25</v>
      </c>
      <c r="G58">
        <v>1</v>
      </c>
      <c r="H58">
        <f>G58*D58*E58</f>
        <v>40</v>
      </c>
    </row>
    <row r="59" spans="1:9" x14ac:dyDescent="0.25">
      <c r="A59" t="s">
        <v>70</v>
      </c>
      <c r="B59" s="32">
        <f>20/3</f>
        <v>6.666666666666667</v>
      </c>
      <c r="C59" s="32">
        <v>20</v>
      </c>
      <c r="D59" s="32">
        <f>60/C59</f>
        <v>3</v>
      </c>
      <c r="E59" s="32">
        <v>20</v>
      </c>
      <c r="F59" s="30">
        <f>B59/(D59*E59)</f>
        <v>0.11111111111111112</v>
      </c>
      <c r="G59">
        <v>1</v>
      </c>
      <c r="H59">
        <f>G59*D59*E59</f>
        <v>60</v>
      </c>
    </row>
    <row r="60" spans="1:9" x14ac:dyDescent="0.25">
      <c r="A60" t="s">
        <v>71</v>
      </c>
      <c r="B60" s="32">
        <f>120/3</f>
        <v>40</v>
      </c>
      <c r="C60" s="32">
        <v>30</v>
      </c>
      <c r="D60" s="32">
        <f>60/C60</f>
        <v>2</v>
      </c>
      <c r="E60" s="32">
        <v>20</v>
      </c>
      <c r="F60" s="30">
        <f>B60/(D60*E60)</f>
        <v>1</v>
      </c>
      <c r="G60">
        <f t="shared" si="34"/>
        <v>1</v>
      </c>
      <c r="H60">
        <f>G60*D60*E60</f>
        <v>40</v>
      </c>
    </row>
  </sheetData>
  <mergeCells count="1">
    <mergeCell ref="A38:B38"/>
  </mergeCell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G5" sqref="G5"/>
    </sheetView>
  </sheetViews>
  <sheetFormatPr defaultRowHeight="15" x14ac:dyDescent="0.25"/>
  <cols>
    <col min="1" max="1" width="18.42578125" style="66" customWidth="1"/>
    <col min="2" max="2" width="19.42578125" customWidth="1"/>
    <col min="3" max="3" width="18.7109375" customWidth="1"/>
    <col min="4" max="4" width="19.140625" customWidth="1"/>
    <col min="5" max="5" width="18.85546875" customWidth="1"/>
  </cols>
  <sheetData>
    <row r="1" spans="1:5" ht="150" x14ac:dyDescent="0.3">
      <c r="A1" s="36" t="s">
        <v>57</v>
      </c>
      <c r="B1" s="25"/>
      <c r="C1" s="28" t="s">
        <v>56</v>
      </c>
      <c r="D1" s="28" t="s">
        <v>60</v>
      </c>
      <c r="E1" s="28" t="s">
        <v>61</v>
      </c>
    </row>
    <row r="2" spans="1:5" x14ac:dyDescent="0.25">
      <c r="A2" s="60">
        <v>535</v>
      </c>
      <c r="B2" s="66" t="s">
        <v>85</v>
      </c>
      <c r="C2" s="92">
        <f>A2/3</f>
        <v>178.33333333333334</v>
      </c>
      <c r="D2" s="21">
        <f>537/3</f>
        <v>179</v>
      </c>
      <c r="E2" s="23">
        <f t="shared" ref="E2:E13" si="0">1-C2/D2</f>
        <v>3.7243947858472959E-3</v>
      </c>
    </row>
    <row r="3" spans="1:5" x14ac:dyDescent="0.25">
      <c r="A3" s="60">
        <v>438</v>
      </c>
      <c r="B3" s="66" t="s">
        <v>23</v>
      </c>
      <c r="C3" s="92">
        <f t="shared" ref="C3:C13" si="1">A3/3</f>
        <v>146</v>
      </c>
      <c r="D3" s="21">
        <f>438/3</f>
        <v>146</v>
      </c>
      <c r="E3" s="23">
        <f t="shared" si="0"/>
        <v>0</v>
      </c>
    </row>
    <row r="4" spans="1:5" x14ac:dyDescent="0.25">
      <c r="A4" s="60">
        <v>294</v>
      </c>
      <c r="B4" s="66" t="s">
        <v>86</v>
      </c>
      <c r="C4" s="92">
        <f t="shared" si="1"/>
        <v>98</v>
      </c>
      <c r="D4" s="21">
        <f>294/3</f>
        <v>98</v>
      </c>
      <c r="E4" s="23">
        <f t="shared" si="0"/>
        <v>0</v>
      </c>
    </row>
    <row r="5" spans="1:5" x14ac:dyDescent="0.25">
      <c r="A5" s="60">
        <v>294</v>
      </c>
      <c r="B5" s="66" t="s">
        <v>87</v>
      </c>
      <c r="C5" s="92">
        <f t="shared" si="1"/>
        <v>98</v>
      </c>
      <c r="D5" s="21">
        <f>294/3</f>
        <v>98</v>
      </c>
      <c r="E5" s="23">
        <f t="shared" si="0"/>
        <v>0</v>
      </c>
    </row>
    <row r="6" spans="1:5" x14ac:dyDescent="0.25">
      <c r="A6" s="60">
        <v>270</v>
      </c>
      <c r="B6" s="66" t="s">
        <v>88</v>
      </c>
      <c r="C6" s="92">
        <f t="shared" si="1"/>
        <v>90</v>
      </c>
      <c r="D6" s="21">
        <f>270/3</f>
        <v>90</v>
      </c>
      <c r="E6" s="23">
        <f t="shared" si="0"/>
        <v>0</v>
      </c>
    </row>
    <row r="7" spans="1:5" x14ac:dyDescent="0.25">
      <c r="A7" s="60">
        <v>180</v>
      </c>
      <c r="B7" s="66" t="s">
        <v>89</v>
      </c>
      <c r="C7" s="92">
        <f t="shared" si="1"/>
        <v>60</v>
      </c>
      <c r="D7" s="21">
        <f>180/3</f>
        <v>60</v>
      </c>
      <c r="E7" s="23">
        <f t="shared" si="0"/>
        <v>0</v>
      </c>
    </row>
    <row r="8" spans="1:5" x14ac:dyDescent="0.25">
      <c r="A8" s="60">
        <v>288</v>
      </c>
      <c r="B8" s="66" t="s">
        <v>90</v>
      </c>
      <c r="C8" s="92">
        <f t="shared" si="1"/>
        <v>96</v>
      </c>
      <c r="D8" s="21">
        <f>288/3</f>
        <v>96</v>
      </c>
      <c r="E8" s="23">
        <f t="shared" si="0"/>
        <v>0</v>
      </c>
    </row>
    <row r="9" spans="1:5" x14ac:dyDescent="0.25">
      <c r="A9" s="60">
        <v>72</v>
      </c>
      <c r="B9" s="66" t="s">
        <v>91</v>
      </c>
      <c r="C9" s="92">
        <f t="shared" si="1"/>
        <v>24</v>
      </c>
      <c r="D9" s="21">
        <f>72/3</f>
        <v>24</v>
      </c>
      <c r="E9" s="23">
        <f t="shared" si="0"/>
        <v>0</v>
      </c>
    </row>
    <row r="10" spans="1:5" x14ac:dyDescent="0.25">
      <c r="A10" s="60">
        <v>331</v>
      </c>
      <c r="B10" s="66" t="s">
        <v>92</v>
      </c>
      <c r="C10" s="92">
        <f t="shared" si="1"/>
        <v>110.33333333333333</v>
      </c>
      <c r="D10" s="92">
        <f>331/3</f>
        <v>110.33333333333333</v>
      </c>
      <c r="E10" s="23">
        <f t="shared" si="0"/>
        <v>0</v>
      </c>
    </row>
    <row r="11" spans="1:5" x14ac:dyDescent="0.25">
      <c r="A11" s="60">
        <v>97</v>
      </c>
      <c r="B11" s="66" t="s">
        <v>93</v>
      </c>
      <c r="C11" s="92">
        <f t="shared" si="1"/>
        <v>32.333333333333336</v>
      </c>
      <c r="D11" s="92">
        <f>101/3</f>
        <v>33.666666666666664</v>
      </c>
      <c r="E11" s="23">
        <f t="shared" si="0"/>
        <v>3.9603960396039417E-2</v>
      </c>
    </row>
    <row r="12" spans="1:5" x14ac:dyDescent="0.25">
      <c r="A12" s="60">
        <v>97</v>
      </c>
      <c r="B12" s="66" t="s">
        <v>94</v>
      </c>
      <c r="C12" s="92">
        <f t="shared" si="1"/>
        <v>32.333333333333336</v>
      </c>
      <c r="D12" s="92">
        <f>101/3</f>
        <v>33.666666666666664</v>
      </c>
      <c r="E12" s="23">
        <f t="shared" si="0"/>
        <v>3.9603960396039417E-2</v>
      </c>
    </row>
    <row r="13" spans="1:5" x14ac:dyDescent="0.25">
      <c r="A13" s="60">
        <v>97</v>
      </c>
      <c r="B13" s="66" t="s">
        <v>95</v>
      </c>
      <c r="C13" s="92">
        <f t="shared" si="1"/>
        <v>32.333333333333336</v>
      </c>
      <c r="D13" s="21">
        <f>99/3</f>
        <v>33</v>
      </c>
      <c r="E13" s="94">
        <f t="shared" si="0"/>
        <v>2.020202020202011E-2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H24" sqref="H24"/>
    </sheetView>
  </sheetViews>
  <sheetFormatPr defaultRowHeight="15" x14ac:dyDescent="0.25"/>
  <cols>
    <col min="1" max="1" width="18" customWidth="1"/>
    <col min="2" max="2" width="18.42578125" customWidth="1"/>
    <col min="3" max="3" width="20.42578125" customWidth="1"/>
    <col min="4" max="4" width="18.28515625" customWidth="1"/>
  </cols>
  <sheetData>
    <row r="1" spans="1:4" ht="75" x14ac:dyDescent="0.3">
      <c r="A1" s="36" t="s">
        <v>57</v>
      </c>
      <c r="B1" s="25"/>
      <c r="C1" s="28" t="s">
        <v>60</v>
      </c>
      <c r="D1" s="28" t="s">
        <v>61</v>
      </c>
    </row>
    <row r="2" spans="1:4" x14ac:dyDescent="0.25">
      <c r="A2" s="98">
        <v>535</v>
      </c>
      <c r="B2" s="66" t="s">
        <v>85</v>
      </c>
      <c r="C2" s="92">
        <v>534.07399999999996</v>
      </c>
      <c r="D2" s="23">
        <f>1-A2/C2</f>
        <v>-1.7338421267465431E-3</v>
      </c>
    </row>
    <row r="3" spans="1:4" x14ac:dyDescent="0.25">
      <c r="A3" s="98">
        <v>438</v>
      </c>
      <c r="B3" s="66" t="s">
        <v>23</v>
      </c>
      <c r="C3" s="92">
        <v>444.815</v>
      </c>
      <c r="D3" s="23">
        <f t="shared" ref="D3:D13" si="0">1-A3/C3</f>
        <v>1.5320976136146469E-2</v>
      </c>
    </row>
    <row r="4" spans="1:4" x14ac:dyDescent="0.25">
      <c r="A4" s="98">
        <v>294</v>
      </c>
      <c r="B4" s="66" t="s">
        <v>86</v>
      </c>
      <c r="C4" s="92">
        <v>284.44400000000002</v>
      </c>
      <c r="D4" s="23">
        <f t="shared" si="0"/>
        <v>-3.3595364992757837E-2</v>
      </c>
    </row>
    <row r="5" spans="1:4" x14ac:dyDescent="0.25">
      <c r="A5" s="98">
        <v>294</v>
      </c>
      <c r="B5" s="66" t="s">
        <v>87</v>
      </c>
      <c r="C5" s="92">
        <v>284.815</v>
      </c>
      <c r="D5" s="23">
        <f t="shared" si="0"/>
        <v>-3.2249003739269311E-2</v>
      </c>
    </row>
    <row r="6" spans="1:4" x14ac:dyDescent="0.25">
      <c r="A6" s="98">
        <v>270</v>
      </c>
      <c r="B6" s="66" t="s">
        <v>88</v>
      </c>
      <c r="C6" s="92">
        <v>266.666</v>
      </c>
      <c r="D6" s="23">
        <f t="shared" si="0"/>
        <v>-1.2502531256328053E-2</v>
      </c>
    </row>
    <row r="7" spans="1:4" x14ac:dyDescent="0.25">
      <c r="A7" s="98">
        <v>180</v>
      </c>
      <c r="B7" s="66" t="s">
        <v>89</v>
      </c>
      <c r="C7" s="21">
        <v>200</v>
      </c>
      <c r="D7" s="23">
        <f t="shared" si="0"/>
        <v>9.9999999999999978E-2</v>
      </c>
    </row>
    <row r="8" spans="1:4" x14ac:dyDescent="0.25">
      <c r="A8" s="98">
        <v>288</v>
      </c>
      <c r="B8" s="66" t="s">
        <v>90</v>
      </c>
      <c r="C8" s="21">
        <v>320</v>
      </c>
      <c r="D8" s="23">
        <f t="shared" si="0"/>
        <v>9.9999999999999978E-2</v>
      </c>
    </row>
    <row r="9" spans="1:4" x14ac:dyDescent="0.25">
      <c r="A9" s="98">
        <v>72</v>
      </c>
      <c r="B9" s="66" t="s">
        <v>91</v>
      </c>
      <c r="C9" s="21">
        <v>80</v>
      </c>
      <c r="D9" s="23">
        <f t="shared" si="0"/>
        <v>9.9999999999999978E-2</v>
      </c>
    </row>
    <row r="10" spans="1:4" x14ac:dyDescent="0.25">
      <c r="A10" s="98">
        <v>331</v>
      </c>
      <c r="B10" s="66" t="s">
        <v>92</v>
      </c>
      <c r="C10" s="92">
        <v>317.77699999999999</v>
      </c>
      <c r="D10" s="23">
        <f t="shared" si="0"/>
        <v>-4.1610941005799651E-2</v>
      </c>
    </row>
    <row r="11" spans="1:4" x14ac:dyDescent="0.25">
      <c r="A11" s="98">
        <v>97</v>
      </c>
      <c r="B11" s="66" t="s">
        <v>93</v>
      </c>
      <c r="C11" s="92">
        <v>89.63</v>
      </c>
      <c r="D11" s="23">
        <f t="shared" si="0"/>
        <v>-8.222693294655814E-2</v>
      </c>
    </row>
    <row r="12" spans="1:4" x14ac:dyDescent="0.25">
      <c r="A12" s="98">
        <v>97</v>
      </c>
      <c r="B12" s="66" t="s">
        <v>94</v>
      </c>
      <c r="C12" s="92">
        <v>89.63</v>
      </c>
      <c r="D12" s="23">
        <f t="shared" si="0"/>
        <v>-8.222693294655814E-2</v>
      </c>
    </row>
    <row r="13" spans="1:4" x14ac:dyDescent="0.25">
      <c r="A13" s="98">
        <v>97</v>
      </c>
      <c r="B13" s="66" t="s">
        <v>95</v>
      </c>
      <c r="C13" s="92">
        <v>90.37</v>
      </c>
      <c r="D13" s="23">
        <f t="shared" si="0"/>
        <v>-7.3365054774814586E-2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E14" sqref="E14"/>
    </sheetView>
  </sheetViews>
  <sheetFormatPr defaultRowHeight="15" x14ac:dyDescent="0.25"/>
  <cols>
    <col min="1" max="1" width="47.5703125" customWidth="1"/>
    <col min="2" max="2" width="18.42578125" customWidth="1"/>
  </cols>
  <sheetData>
    <row r="1" spans="1:2" x14ac:dyDescent="0.25">
      <c r="A1" t="s">
        <v>63</v>
      </c>
      <c r="B1" t="s">
        <v>85</v>
      </c>
    </row>
    <row r="2" spans="1:2" x14ac:dyDescent="0.25">
      <c r="A2" t="s">
        <v>0</v>
      </c>
      <c r="B2" t="s">
        <v>23</v>
      </c>
    </row>
    <row r="3" spans="1:2" x14ac:dyDescent="0.25">
      <c r="A3" t="s">
        <v>78</v>
      </c>
      <c r="B3" t="s">
        <v>86</v>
      </c>
    </row>
    <row r="4" spans="1:2" x14ac:dyDescent="0.25">
      <c r="A4" t="s">
        <v>10</v>
      </c>
      <c r="B4" t="s">
        <v>87</v>
      </c>
    </row>
    <row r="5" spans="1:2" x14ac:dyDescent="0.25">
      <c r="A5" t="s">
        <v>11</v>
      </c>
      <c r="B5" t="s">
        <v>88</v>
      </c>
    </row>
    <row r="6" spans="1:2" x14ac:dyDescent="0.25">
      <c r="A6" t="s">
        <v>3</v>
      </c>
      <c r="B6" t="s">
        <v>89</v>
      </c>
    </row>
    <row r="7" spans="1:2" x14ac:dyDescent="0.25">
      <c r="A7" t="s">
        <v>4</v>
      </c>
      <c r="B7" t="s">
        <v>90</v>
      </c>
    </row>
    <row r="8" spans="1:2" x14ac:dyDescent="0.25">
      <c r="A8" t="s">
        <v>12</v>
      </c>
      <c r="B8" t="s">
        <v>91</v>
      </c>
    </row>
    <row r="9" spans="1:2" x14ac:dyDescent="0.25">
      <c r="A9" t="s">
        <v>6</v>
      </c>
      <c r="B9" t="s">
        <v>92</v>
      </c>
    </row>
    <row r="10" spans="1:2" x14ac:dyDescent="0.25">
      <c r="A10" t="s">
        <v>65</v>
      </c>
      <c r="B10" t="s">
        <v>93</v>
      </c>
    </row>
    <row r="11" spans="1:2" x14ac:dyDescent="0.25">
      <c r="A11" t="s">
        <v>64</v>
      </c>
      <c r="B11" t="s">
        <v>94</v>
      </c>
    </row>
    <row r="12" spans="1:2" x14ac:dyDescent="0.25">
      <c r="A12" t="s">
        <v>81</v>
      </c>
      <c r="B12" t="s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U13" sqref="U13"/>
    </sheetView>
  </sheetViews>
  <sheetFormatPr defaultRowHeight="15" x14ac:dyDescent="0.25"/>
  <cols>
    <col min="1" max="1" width="36.85546875" customWidth="1"/>
  </cols>
  <sheetData>
    <row r="1" spans="1:10" x14ac:dyDescent="0.25">
      <c r="A1" s="93" t="s">
        <v>26</v>
      </c>
      <c r="B1" s="93" t="s">
        <v>96</v>
      </c>
      <c r="C1" s="93" t="s">
        <v>97</v>
      </c>
      <c r="D1" s="93" t="s">
        <v>98</v>
      </c>
      <c r="E1" s="93" t="s">
        <v>99</v>
      </c>
      <c r="F1" s="93" t="s">
        <v>100</v>
      </c>
      <c r="G1" s="93" t="s">
        <v>101</v>
      </c>
      <c r="H1" s="93" t="s">
        <v>27</v>
      </c>
      <c r="I1" s="93" t="s">
        <v>28</v>
      </c>
      <c r="J1" s="93" t="s">
        <v>29</v>
      </c>
    </row>
    <row r="2" spans="1:10" x14ac:dyDescent="0.25">
      <c r="A2" s="93" t="s">
        <v>91</v>
      </c>
      <c r="B2" s="93" t="s">
        <v>102</v>
      </c>
      <c r="C2" s="93">
        <v>0</v>
      </c>
      <c r="D2" s="93">
        <v>0.129</v>
      </c>
      <c r="E2" s="93">
        <v>0.214</v>
      </c>
      <c r="F2" s="93">
        <v>7.4999999999999997E-2</v>
      </c>
      <c r="G2" s="93">
        <v>0.186</v>
      </c>
      <c r="H2" s="93">
        <v>24</v>
      </c>
      <c r="I2" s="93">
        <v>0</v>
      </c>
      <c r="J2" s="93">
        <v>0</v>
      </c>
    </row>
    <row r="3" spans="1:10" x14ac:dyDescent="0.25">
      <c r="A3" s="93" t="s">
        <v>86</v>
      </c>
      <c r="B3" s="93" t="s">
        <v>102</v>
      </c>
      <c r="C3" s="93">
        <v>0.16</v>
      </c>
      <c r="D3" s="93">
        <v>0.20699999999999999</v>
      </c>
      <c r="E3" s="93">
        <v>0.42299999999999999</v>
      </c>
      <c r="F3" s="93">
        <v>4.1000000000000002E-2</v>
      </c>
      <c r="G3" s="93">
        <v>0.24299999999999999</v>
      </c>
      <c r="H3" s="93">
        <v>98</v>
      </c>
      <c r="I3" s="93">
        <v>0</v>
      </c>
      <c r="J3" s="93">
        <v>0</v>
      </c>
    </row>
    <row r="4" spans="1:10" x14ac:dyDescent="0.25">
      <c r="A4" s="93" t="s">
        <v>90</v>
      </c>
      <c r="B4" s="93" t="s">
        <v>102</v>
      </c>
      <c r="C4" s="93">
        <v>0.182</v>
      </c>
      <c r="D4" s="93">
        <v>0.21199999999999999</v>
      </c>
      <c r="E4" s="93">
        <v>0.39800000000000002</v>
      </c>
      <c r="F4" s="93">
        <v>3.2000000000000001E-2</v>
      </c>
      <c r="G4" s="93">
        <v>0.23200000000000001</v>
      </c>
      <c r="H4" s="93">
        <v>96</v>
      </c>
      <c r="I4" s="93">
        <v>0</v>
      </c>
      <c r="J4" s="93">
        <v>0</v>
      </c>
    </row>
    <row r="5" spans="1:10" x14ac:dyDescent="0.25">
      <c r="A5" s="93" t="s">
        <v>95</v>
      </c>
      <c r="B5" s="93" t="s">
        <v>102</v>
      </c>
      <c r="C5" s="93">
        <v>0.14799999999999999</v>
      </c>
      <c r="D5" s="93">
        <v>0.17599999999999999</v>
      </c>
      <c r="E5" s="93">
        <v>0.23100000000000001</v>
      </c>
      <c r="F5" s="93">
        <v>1.9E-2</v>
      </c>
      <c r="G5" s="93">
        <v>0.20499999999999999</v>
      </c>
      <c r="H5" s="93">
        <v>34</v>
      </c>
      <c r="I5" s="93">
        <v>0</v>
      </c>
      <c r="J5" s="93">
        <v>0</v>
      </c>
    </row>
    <row r="6" spans="1:10" x14ac:dyDescent="0.25">
      <c r="A6" s="93" t="s">
        <v>87</v>
      </c>
      <c r="B6" s="93" t="s">
        <v>102</v>
      </c>
      <c r="C6" s="93">
        <v>7.9000000000000001E-2</v>
      </c>
      <c r="D6" s="93">
        <v>9.1999999999999998E-2</v>
      </c>
      <c r="E6" s="93">
        <v>0.21</v>
      </c>
      <c r="F6" s="93">
        <v>1.4E-2</v>
      </c>
      <c r="G6" s="93">
        <v>0.1</v>
      </c>
      <c r="H6" s="93">
        <v>98</v>
      </c>
      <c r="I6" s="93">
        <v>0</v>
      </c>
      <c r="J6" s="93">
        <v>0</v>
      </c>
    </row>
    <row r="7" spans="1:10" x14ac:dyDescent="0.25">
      <c r="A7" s="93" t="s">
        <v>23</v>
      </c>
      <c r="B7" s="93" t="s">
        <v>102</v>
      </c>
      <c r="C7" s="93">
        <v>0.152</v>
      </c>
      <c r="D7" s="93">
        <v>0.18</v>
      </c>
      <c r="E7" s="93">
        <v>0.34</v>
      </c>
      <c r="F7" s="93">
        <v>2.1999999999999999E-2</v>
      </c>
      <c r="G7" s="93">
        <v>0.20499999999999999</v>
      </c>
      <c r="H7" s="93">
        <v>146</v>
      </c>
      <c r="I7" s="93">
        <v>0</v>
      </c>
      <c r="J7" s="93">
        <v>0</v>
      </c>
    </row>
    <row r="8" spans="1:10" x14ac:dyDescent="0.25">
      <c r="A8" s="93" t="s">
        <v>85</v>
      </c>
      <c r="B8" s="93" t="s">
        <v>102</v>
      </c>
      <c r="C8" s="93">
        <v>0.14499999999999999</v>
      </c>
      <c r="D8" s="93">
        <v>0.17</v>
      </c>
      <c r="E8" s="93">
        <v>0.34599999999999997</v>
      </c>
      <c r="F8" s="93">
        <v>2.1999999999999999E-2</v>
      </c>
      <c r="G8" s="93">
        <v>0.186</v>
      </c>
      <c r="H8" s="93">
        <v>179</v>
      </c>
      <c r="I8" s="93">
        <v>0</v>
      </c>
      <c r="J8" s="93">
        <v>0</v>
      </c>
    </row>
    <row r="9" spans="1:10" x14ac:dyDescent="0.25">
      <c r="A9" s="93" t="s">
        <v>89</v>
      </c>
      <c r="B9" s="93" t="s">
        <v>102</v>
      </c>
      <c r="C9" s="93">
        <v>8.7999999999999995E-2</v>
      </c>
      <c r="D9" s="93">
        <v>0.1</v>
      </c>
      <c r="E9" s="93">
        <v>0.13200000000000001</v>
      </c>
      <c r="F9" s="93">
        <v>8.9999999999999993E-3</v>
      </c>
      <c r="G9" s="93">
        <v>0.109</v>
      </c>
      <c r="H9" s="93">
        <v>60</v>
      </c>
      <c r="I9" s="93">
        <v>0</v>
      </c>
      <c r="J9" s="93">
        <v>0</v>
      </c>
    </row>
    <row r="10" spans="1:10" x14ac:dyDescent="0.25">
      <c r="A10" s="93" t="s">
        <v>94</v>
      </c>
      <c r="B10" s="93" t="s">
        <v>102</v>
      </c>
      <c r="C10" s="93">
        <v>7.1999999999999995E-2</v>
      </c>
      <c r="D10" s="93">
        <v>8.5000000000000006E-2</v>
      </c>
      <c r="E10" s="93">
        <v>0.14299999999999999</v>
      </c>
      <c r="F10" s="93">
        <v>1.4E-2</v>
      </c>
      <c r="G10" s="93">
        <v>9.5000000000000001E-2</v>
      </c>
      <c r="H10" s="93">
        <v>34</v>
      </c>
      <c r="I10" s="93">
        <v>0</v>
      </c>
      <c r="J10" s="93">
        <v>0</v>
      </c>
    </row>
    <row r="11" spans="1:10" x14ac:dyDescent="0.25">
      <c r="A11" s="93" t="s">
        <v>88</v>
      </c>
      <c r="B11" s="93" t="s">
        <v>102</v>
      </c>
      <c r="C11" s="93">
        <v>8.1000000000000003E-2</v>
      </c>
      <c r="D11" s="93">
        <v>9.7000000000000003E-2</v>
      </c>
      <c r="E11" s="93">
        <v>0.17199999999999999</v>
      </c>
      <c r="F11" s="93">
        <v>1.4999999999999999E-2</v>
      </c>
      <c r="G11" s="93">
        <v>0.11</v>
      </c>
      <c r="H11" s="93">
        <v>90</v>
      </c>
      <c r="I11" s="93">
        <v>0</v>
      </c>
      <c r="J11" s="93">
        <v>0</v>
      </c>
    </row>
    <row r="12" spans="1:10" x14ac:dyDescent="0.25">
      <c r="A12" s="93" t="s">
        <v>92</v>
      </c>
      <c r="B12" s="93" t="s">
        <v>102</v>
      </c>
      <c r="C12" s="93">
        <v>0.13600000000000001</v>
      </c>
      <c r="D12" s="93">
        <v>0.156</v>
      </c>
      <c r="E12" s="93">
        <v>0.39400000000000002</v>
      </c>
      <c r="F12" s="93">
        <v>2.5999999999999999E-2</v>
      </c>
      <c r="G12" s="93">
        <v>0.17299999999999999</v>
      </c>
      <c r="H12" s="93">
        <v>111</v>
      </c>
      <c r="I12" s="93">
        <v>0</v>
      </c>
      <c r="J12" s="93">
        <v>0</v>
      </c>
    </row>
    <row r="13" spans="1:10" x14ac:dyDescent="0.25">
      <c r="A13" s="93" t="s">
        <v>93</v>
      </c>
      <c r="B13" s="93" t="s">
        <v>102</v>
      </c>
      <c r="C13" s="93">
        <v>9.6000000000000002E-2</v>
      </c>
      <c r="D13" s="93">
        <v>0.112</v>
      </c>
      <c r="E13" s="93">
        <v>0.193</v>
      </c>
      <c r="F13" s="93">
        <v>1.7000000000000001E-2</v>
      </c>
      <c r="G13" s="93">
        <v>0.121</v>
      </c>
      <c r="H13" s="93">
        <v>34</v>
      </c>
      <c r="I13" s="93">
        <v>0</v>
      </c>
      <c r="J13" s="93">
        <v>0</v>
      </c>
    </row>
    <row r="14" spans="1:10" x14ac:dyDescent="0.25">
      <c r="A14" s="93" t="s">
        <v>103</v>
      </c>
      <c r="B14" s="93" t="s">
        <v>102</v>
      </c>
      <c r="C14" s="93">
        <v>0.61399999999999999</v>
      </c>
      <c r="D14" s="93">
        <v>0.69699999999999995</v>
      </c>
      <c r="E14" s="93">
        <v>0.79200000000000004</v>
      </c>
      <c r="F14" s="93">
        <v>4.7E-2</v>
      </c>
      <c r="G14" s="93">
        <v>0.75800000000000001</v>
      </c>
      <c r="H14" s="93">
        <v>33</v>
      </c>
      <c r="I14" s="93">
        <v>0</v>
      </c>
      <c r="J14" s="93">
        <v>0</v>
      </c>
    </row>
    <row r="15" spans="1:10" x14ac:dyDescent="0.25">
      <c r="A15" s="93" t="s">
        <v>104</v>
      </c>
      <c r="B15" s="93" t="s">
        <v>102</v>
      </c>
      <c r="C15" s="93">
        <v>0.76800000000000002</v>
      </c>
      <c r="D15" s="93">
        <v>0.91700000000000004</v>
      </c>
      <c r="E15" s="93">
        <v>1.1739999999999999</v>
      </c>
      <c r="F15" s="93">
        <v>9.8000000000000004E-2</v>
      </c>
      <c r="G15" s="93">
        <v>1.0409999999999999</v>
      </c>
      <c r="H15" s="93">
        <v>30</v>
      </c>
      <c r="I15" s="93">
        <v>0</v>
      </c>
      <c r="J15" s="93">
        <v>0</v>
      </c>
    </row>
    <row r="16" spans="1:10" x14ac:dyDescent="0.25">
      <c r="A16" s="93" t="s">
        <v>105</v>
      </c>
      <c r="B16" s="93" t="s">
        <v>102</v>
      </c>
      <c r="C16" s="93">
        <v>0.64800000000000002</v>
      </c>
      <c r="D16" s="93">
        <v>0.73399999999999999</v>
      </c>
      <c r="E16" s="93">
        <v>0.84899999999999998</v>
      </c>
      <c r="F16" s="93">
        <v>5.2999999999999999E-2</v>
      </c>
      <c r="G16" s="93">
        <v>0.83099999999999996</v>
      </c>
      <c r="H16" s="93">
        <v>12</v>
      </c>
      <c r="I16" s="93">
        <v>0</v>
      </c>
      <c r="J16" s="93">
        <v>0</v>
      </c>
    </row>
    <row r="17" spans="1:10" x14ac:dyDescent="0.25">
      <c r="A17" s="93" t="s">
        <v>106</v>
      </c>
      <c r="B17" s="93" t="s">
        <v>102</v>
      </c>
      <c r="C17" s="93">
        <v>0.92</v>
      </c>
      <c r="D17" s="93">
        <v>1.044</v>
      </c>
      <c r="E17" s="93">
        <v>1.232</v>
      </c>
      <c r="F17" s="93">
        <v>7.0999999999999994E-2</v>
      </c>
      <c r="G17" s="93">
        <v>1.109</v>
      </c>
      <c r="H17" s="93">
        <v>60</v>
      </c>
      <c r="I17" s="93">
        <v>0</v>
      </c>
      <c r="J17" s="93">
        <v>0</v>
      </c>
    </row>
    <row r="18" spans="1:10" x14ac:dyDescent="0.25">
      <c r="A18" s="93" t="s">
        <v>107</v>
      </c>
      <c r="B18" s="93" t="s">
        <v>102</v>
      </c>
      <c r="C18" s="93">
        <v>0.70599999999999996</v>
      </c>
      <c r="D18" s="93">
        <v>0.85699999999999998</v>
      </c>
      <c r="E18" s="93">
        <v>1.141</v>
      </c>
      <c r="F18" s="93">
        <v>9.6000000000000002E-2</v>
      </c>
      <c r="G18" s="93">
        <v>0.96099999999999997</v>
      </c>
      <c r="H18" s="93">
        <v>24</v>
      </c>
      <c r="I18" s="93">
        <v>0</v>
      </c>
      <c r="J18" s="93">
        <v>0</v>
      </c>
    </row>
    <row r="19" spans="1:10" x14ac:dyDescent="0.25">
      <c r="A19" s="93" t="s">
        <v>108</v>
      </c>
      <c r="B19" s="93" t="s">
        <v>102</v>
      </c>
      <c r="C19" s="93">
        <v>0.59899999999999998</v>
      </c>
      <c r="D19" s="93">
        <v>0.68700000000000006</v>
      </c>
      <c r="E19" s="93">
        <v>0.748</v>
      </c>
      <c r="F19" s="93">
        <v>4.9000000000000002E-2</v>
      </c>
      <c r="G19" s="93">
        <v>0.748</v>
      </c>
      <c r="H19" s="93">
        <v>8</v>
      </c>
      <c r="I19" s="93">
        <v>0</v>
      </c>
      <c r="J19" s="93">
        <v>0</v>
      </c>
    </row>
    <row r="20" spans="1:10" x14ac:dyDescent="0.25">
      <c r="A20" s="93" t="s">
        <v>109</v>
      </c>
      <c r="B20" s="93" t="s">
        <v>102</v>
      </c>
      <c r="C20" s="93">
        <v>0.45300000000000001</v>
      </c>
      <c r="D20" s="93">
        <v>0.49299999999999999</v>
      </c>
      <c r="E20" s="93">
        <v>0.56399999999999995</v>
      </c>
      <c r="F20" s="93">
        <v>2.9000000000000001E-2</v>
      </c>
      <c r="G20" s="93">
        <v>0.50800000000000001</v>
      </c>
      <c r="H20" s="93">
        <v>12</v>
      </c>
      <c r="I20" s="93">
        <v>0</v>
      </c>
      <c r="J20" s="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9:O44"/>
  <sheetViews>
    <sheetView workbookViewId="0">
      <selection activeCell="H17" sqref="H17"/>
    </sheetView>
  </sheetViews>
  <sheetFormatPr defaultColWidth="8.85546875" defaultRowHeight="15" x14ac:dyDescent="0.25"/>
  <cols>
    <col min="2" max="2" width="4.42578125" customWidth="1"/>
    <col min="3" max="4" width="9.140625" hidden="1" customWidth="1"/>
    <col min="5" max="5" width="20.42578125" customWidth="1"/>
    <col min="6" max="6" width="18.85546875" customWidth="1"/>
    <col min="7" max="7" width="15.28515625" customWidth="1"/>
    <col min="8" max="8" width="15.140625" customWidth="1"/>
    <col min="9" max="9" width="14" customWidth="1"/>
    <col min="11" max="11" width="1.42578125" customWidth="1"/>
    <col min="12" max="12" width="40.28515625" customWidth="1"/>
    <col min="13" max="13" width="6" bestFit="1" customWidth="1"/>
    <col min="14" max="14" width="4.140625" bestFit="1" customWidth="1"/>
    <col min="15" max="15" width="5" bestFit="1" customWidth="1"/>
    <col min="16" max="16" width="14.140625" bestFit="1" customWidth="1"/>
    <col min="17" max="17" width="19.42578125" bestFit="1" customWidth="1"/>
  </cols>
  <sheetData>
    <row r="9" spans="5:9" x14ac:dyDescent="0.25">
      <c r="E9" s="97" t="s">
        <v>32</v>
      </c>
      <c r="F9" s="97"/>
      <c r="G9" s="97"/>
      <c r="H9" s="97"/>
      <c r="I9" s="97"/>
    </row>
    <row r="11" spans="5:9" ht="28.5" x14ac:dyDescent="0.25"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</row>
    <row r="12" spans="5:9" ht="15.75" x14ac:dyDescent="0.25">
      <c r="E12" s="2" t="s">
        <v>0</v>
      </c>
      <c r="F12" s="3" t="s">
        <v>23</v>
      </c>
      <c r="G12" s="4">
        <v>368</v>
      </c>
      <c r="H12" s="3">
        <f>121*3</f>
        <v>363</v>
      </c>
      <c r="I12" s="5">
        <f>1-G12/H12</f>
        <v>-1.377410468319562E-2</v>
      </c>
    </row>
    <row r="13" spans="5:9" ht="31.5" x14ac:dyDescent="0.25">
      <c r="E13" s="2" t="s">
        <v>1</v>
      </c>
      <c r="F13" s="3" t="s">
        <v>22</v>
      </c>
      <c r="G13" s="4">
        <v>251</v>
      </c>
      <c r="H13" s="3">
        <f>82*3</f>
        <v>246</v>
      </c>
      <c r="I13" s="5">
        <f t="shared" ref="I13:I18" si="0">1-G13/H13</f>
        <v>-2.0325203252032464E-2</v>
      </c>
    </row>
    <row r="14" spans="5:9" ht="31.5" x14ac:dyDescent="0.25">
      <c r="E14" s="2" t="s">
        <v>2</v>
      </c>
      <c r="F14" s="3" t="s">
        <v>25</v>
      </c>
      <c r="G14" s="4">
        <v>251</v>
      </c>
      <c r="H14" s="3">
        <f>82*3</f>
        <v>246</v>
      </c>
      <c r="I14" s="5">
        <f t="shared" si="0"/>
        <v>-2.0325203252032464E-2</v>
      </c>
    </row>
    <row r="15" spans="5:9" ht="15.75" x14ac:dyDescent="0.25">
      <c r="E15" s="2" t="s">
        <v>3</v>
      </c>
      <c r="F15" s="3" t="s">
        <v>18</v>
      </c>
      <c r="G15" s="4">
        <v>175</v>
      </c>
      <c r="H15" s="3">
        <f>56*3</f>
        <v>168</v>
      </c>
      <c r="I15" s="6">
        <f t="shared" si="0"/>
        <v>-4.1666666666666741E-2</v>
      </c>
    </row>
    <row r="16" spans="5:9" ht="31.5" x14ac:dyDescent="0.25">
      <c r="E16" s="2" t="s">
        <v>19</v>
      </c>
      <c r="F16" s="3" t="s">
        <v>21</v>
      </c>
      <c r="G16" s="4">
        <v>159</v>
      </c>
      <c r="H16" s="4">
        <f>56*3</f>
        <v>168</v>
      </c>
      <c r="I16" s="5">
        <f t="shared" si="0"/>
        <v>5.3571428571428603E-2</v>
      </c>
    </row>
    <row r="17" spans="5:9" ht="47.25" x14ac:dyDescent="0.25">
      <c r="E17" s="2" t="s">
        <v>5</v>
      </c>
      <c r="F17" s="3" t="s">
        <v>20</v>
      </c>
      <c r="G17" s="4">
        <v>73</v>
      </c>
      <c r="H17" s="3">
        <f>25*3</f>
        <v>75</v>
      </c>
      <c r="I17" s="5">
        <f t="shared" si="0"/>
        <v>2.6666666666666616E-2</v>
      </c>
    </row>
    <row r="18" spans="5:9" ht="15.75" x14ac:dyDescent="0.25">
      <c r="E18" s="2" t="s">
        <v>6</v>
      </c>
      <c r="F18" s="3" t="s">
        <v>24</v>
      </c>
      <c r="G18" s="4">
        <v>326</v>
      </c>
      <c r="H18" s="3">
        <f>104*3</f>
        <v>312</v>
      </c>
      <c r="I18" s="5">
        <f t="shared" si="0"/>
        <v>-4.4871794871794934E-2</v>
      </c>
    </row>
    <row r="23" spans="5:9" x14ac:dyDescent="0.25">
      <c r="E23" s="97" t="s">
        <v>30</v>
      </c>
      <c r="F23" s="97"/>
      <c r="G23" s="97"/>
      <c r="H23" s="97"/>
      <c r="I23" s="97"/>
    </row>
    <row r="25" spans="5:9" x14ac:dyDescent="0.25">
      <c r="E25" s="8" t="s">
        <v>13</v>
      </c>
      <c r="F25" s="8" t="s">
        <v>14</v>
      </c>
      <c r="G25" s="8" t="s">
        <v>15</v>
      </c>
      <c r="H25" s="8" t="s">
        <v>16</v>
      </c>
      <c r="I25" s="8" t="s">
        <v>17</v>
      </c>
    </row>
    <row r="26" spans="5:9" ht="15.75" x14ac:dyDescent="0.25">
      <c r="E26" s="13" t="s">
        <v>0</v>
      </c>
      <c r="F26" s="12" t="s">
        <v>23</v>
      </c>
      <c r="G26" s="10">
        <f>5*368</f>
        <v>1840</v>
      </c>
      <c r="H26" s="9">
        <f>721*3</f>
        <v>2163</v>
      </c>
      <c r="I26" s="11">
        <f>1-G26/H26</f>
        <v>0.14932963476652794</v>
      </c>
    </row>
    <row r="27" spans="5:9" ht="15.75" x14ac:dyDescent="0.25">
      <c r="E27" s="13" t="s">
        <v>1</v>
      </c>
      <c r="F27" s="12" t="s">
        <v>22</v>
      </c>
      <c r="G27" s="10">
        <f>5*251</f>
        <v>1255</v>
      </c>
      <c r="H27" s="9">
        <f>3*464</f>
        <v>1392</v>
      </c>
      <c r="I27" s="11">
        <f t="shared" ref="I27:I32" si="1">1-G27/H27</f>
        <v>9.8419540229885083E-2</v>
      </c>
    </row>
    <row r="28" spans="5:9" ht="15.75" x14ac:dyDescent="0.25">
      <c r="E28" s="13" t="s">
        <v>2</v>
      </c>
      <c r="F28" s="12" t="s">
        <v>25</v>
      </c>
      <c r="G28" s="10">
        <f>5*251</f>
        <v>1255</v>
      </c>
      <c r="H28" s="9">
        <f>3*462</f>
        <v>1386</v>
      </c>
      <c r="I28" s="11">
        <f t="shared" si="1"/>
        <v>9.4516594516594554E-2</v>
      </c>
    </row>
    <row r="29" spans="5:9" ht="15.75" x14ac:dyDescent="0.25">
      <c r="E29" s="13" t="s">
        <v>3</v>
      </c>
      <c r="F29" s="12" t="s">
        <v>18</v>
      </c>
      <c r="G29" s="10">
        <f>5*175</f>
        <v>875</v>
      </c>
      <c r="H29" s="9">
        <f>3*314</f>
        <v>942</v>
      </c>
      <c r="I29" s="7">
        <f t="shared" si="1"/>
        <v>7.1125265392781301E-2</v>
      </c>
    </row>
    <row r="30" spans="5:9" ht="15.75" x14ac:dyDescent="0.25">
      <c r="E30" s="13" t="s">
        <v>19</v>
      </c>
      <c r="F30" s="12" t="s">
        <v>21</v>
      </c>
      <c r="G30" s="10">
        <f>5*159</f>
        <v>795</v>
      </c>
      <c r="H30" s="9">
        <f>3*330</f>
        <v>990</v>
      </c>
      <c r="I30" s="11">
        <f t="shared" si="1"/>
        <v>0.19696969696969702</v>
      </c>
    </row>
    <row r="31" spans="5:9" ht="15.75" x14ac:dyDescent="0.25">
      <c r="E31" s="13" t="s">
        <v>5</v>
      </c>
      <c r="F31" s="12" t="s">
        <v>20</v>
      </c>
      <c r="G31" s="10">
        <f>5*73</f>
        <v>365</v>
      </c>
      <c r="H31" s="9">
        <f>3*141</f>
        <v>423</v>
      </c>
      <c r="I31" s="11">
        <f t="shared" si="1"/>
        <v>0.13711583924349879</v>
      </c>
    </row>
    <row r="32" spans="5:9" ht="15.75" x14ac:dyDescent="0.25">
      <c r="E32" s="13" t="s">
        <v>6</v>
      </c>
      <c r="F32" s="12" t="s">
        <v>24</v>
      </c>
      <c r="G32" s="10">
        <f>5*326</f>
        <v>1630</v>
      </c>
      <c r="H32" s="9">
        <f>3*599</f>
        <v>1797</v>
      </c>
      <c r="I32" s="11">
        <f t="shared" si="1"/>
        <v>9.2932665553700611E-2</v>
      </c>
    </row>
    <row r="35" spans="5:15" x14ac:dyDescent="0.25">
      <c r="E35" s="97" t="s">
        <v>31</v>
      </c>
      <c r="F35" s="97"/>
      <c r="G35" s="97"/>
      <c r="H35" s="97"/>
      <c r="I35" s="97"/>
    </row>
    <row r="37" spans="5:15" x14ac:dyDescent="0.25">
      <c r="E37" s="8" t="s">
        <v>13</v>
      </c>
      <c r="F37" s="8" t="s">
        <v>14</v>
      </c>
      <c r="G37" s="8" t="s">
        <v>15</v>
      </c>
      <c r="H37" s="8" t="s">
        <v>16</v>
      </c>
      <c r="I37" s="8" t="s">
        <v>17</v>
      </c>
      <c r="L37" s="14" t="s">
        <v>26</v>
      </c>
      <c r="M37" s="14" t="s">
        <v>27</v>
      </c>
      <c r="N37" s="14" t="s">
        <v>28</v>
      </c>
      <c r="O37" s="14" t="s">
        <v>29</v>
      </c>
    </row>
    <row r="38" spans="5:15" ht="15.75" x14ac:dyDescent="0.25">
      <c r="E38" s="13" t="s">
        <v>0</v>
      </c>
      <c r="F38" s="12" t="s">
        <v>23</v>
      </c>
      <c r="G38" s="10">
        <f>5*368</f>
        <v>1840</v>
      </c>
      <c r="H38" s="9">
        <v>2109</v>
      </c>
      <c r="I38" s="11">
        <f>1-G38/H38</f>
        <v>0.12754860123281175</v>
      </c>
      <c r="L38" s="14" t="s">
        <v>20</v>
      </c>
      <c r="M38" s="14">
        <v>377</v>
      </c>
      <c r="N38" s="14">
        <v>27</v>
      </c>
      <c r="O38" s="14">
        <v>0</v>
      </c>
    </row>
    <row r="39" spans="5:15" ht="15.75" x14ac:dyDescent="0.25">
      <c r="E39" s="13" t="s">
        <v>1</v>
      </c>
      <c r="F39" s="12" t="s">
        <v>22</v>
      </c>
      <c r="G39" s="10">
        <f>5*251</f>
        <v>1255</v>
      </c>
      <c r="H39" s="14">
        <v>1315</v>
      </c>
      <c r="I39" s="11">
        <f t="shared" ref="I39:I44" si="2">1-G39/H39</f>
        <v>4.5627376425855459E-2</v>
      </c>
      <c r="L39" s="14" t="s">
        <v>21</v>
      </c>
      <c r="M39" s="14">
        <v>998</v>
      </c>
      <c r="N39" s="14">
        <v>1</v>
      </c>
      <c r="O39" s="14">
        <v>0</v>
      </c>
    </row>
    <row r="40" spans="5:15" ht="15.75" x14ac:dyDescent="0.25">
      <c r="E40" s="13" t="s">
        <v>2</v>
      </c>
      <c r="F40" s="12" t="s">
        <v>25</v>
      </c>
      <c r="G40" s="10">
        <f>5*251</f>
        <v>1255</v>
      </c>
      <c r="H40" s="9">
        <v>1315</v>
      </c>
      <c r="I40" s="11">
        <f t="shared" si="2"/>
        <v>4.5627376425855459E-2</v>
      </c>
      <c r="L40" s="14" t="s">
        <v>22</v>
      </c>
      <c r="M40" s="14" t="s">
        <v>33</v>
      </c>
      <c r="N40" s="14">
        <v>0</v>
      </c>
      <c r="O40" s="14">
        <v>0</v>
      </c>
    </row>
    <row r="41" spans="5:15" ht="15.75" x14ac:dyDescent="0.25">
      <c r="E41" s="13" t="s">
        <v>3</v>
      </c>
      <c r="F41" s="12" t="s">
        <v>18</v>
      </c>
      <c r="G41" s="10">
        <f>5*175</f>
        <v>875</v>
      </c>
      <c r="H41" s="14">
        <v>924</v>
      </c>
      <c r="I41" s="7">
        <f t="shared" si="2"/>
        <v>5.3030303030302983E-2</v>
      </c>
      <c r="L41" s="14" t="s">
        <v>23</v>
      </c>
      <c r="M41" s="14" t="s">
        <v>34</v>
      </c>
      <c r="N41" s="14">
        <v>139</v>
      </c>
      <c r="O41" s="14">
        <v>0</v>
      </c>
    </row>
    <row r="42" spans="5:15" ht="15.75" x14ac:dyDescent="0.25">
      <c r="E42" s="13" t="s">
        <v>19</v>
      </c>
      <c r="F42" s="12" t="s">
        <v>21</v>
      </c>
      <c r="G42" s="10">
        <f>5*159</f>
        <v>795</v>
      </c>
      <c r="H42" s="14">
        <v>998</v>
      </c>
      <c r="I42" s="11">
        <f t="shared" si="2"/>
        <v>0.20340681362725455</v>
      </c>
      <c r="L42" s="14" t="s">
        <v>24</v>
      </c>
      <c r="M42" s="14" t="s">
        <v>35</v>
      </c>
      <c r="N42" s="14">
        <v>1</v>
      </c>
      <c r="O42" s="14">
        <v>0</v>
      </c>
    </row>
    <row r="43" spans="5:15" ht="15.75" x14ac:dyDescent="0.25">
      <c r="E43" s="13" t="s">
        <v>5</v>
      </c>
      <c r="F43" s="12" t="s">
        <v>20</v>
      </c>
      <c r="G43" s="10">
        <f>5*73</f>
        <v>365</v>
      </c>
      <c r="H43" s="14">
        <v>404</v>
      </c>
      <c r="I43" s="11">
        <f t="shared" si="2"/>
        <v>9.6534653465346509E-2</v>
      </c>
      <c r="L43" s="14" t="s">
        <v>18</v>
      </c>
      <c r="M43" s="14">
        <v>924</v>
      </c>
      <c r="N43" s="14">
        <v>0</v>
      </c>
      <c r="O43" s="14">
        <v>0</v>
      </c>
    </row>
    <row r="44" spans="5:15" ht="15.75" x14ac:dyDescent="0.25">
      <c r="E44" s="13" t="s">
        <v>6</v>
      </c>
      <c r="F44" s="12" t="s">
        <v>24</v>
      </c>
      <c r="G44" s="10">
        <f>5*326</f>
        <v>1630</v>
      </c>
      <c r="H44" s="9">
        <v>1675</v>
      </c>
      <c r="I44" s="11">
        <f t="shared" si="2"/>
        <v>2.68656716417911E-2</v>
      </c>
      <c r="L44" s="14" t="s">
        <v>25</v>
      </c>
      <c r="M44" s="14" t="s">
        <v>33</v>
      </c>
      <c r="N44" s="14">
        <v>0</v>
      </c>
      <c r="O44" s="14">
        <v>0</v>
      </c>
    </row>
  </sheetData>
  <mergeCells count="3">
    <mergeCell ref="E23:I23"/>
    <mergeCell ref="E35:I35"/>
    <mergeCell ref="E9:I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Автоматизированный расчет</vt:lpstr>
      <vt:lpstr>Тест поиска максимума</vt:lpstr>
      <vt:lpstr>Тест подтверждения максимума</vt:lpstr>
      <vt:lpstr>Лист соответствия</vt:lpstr>
      <vt:lpstr>Debug Summary Report</vt:lpstr>
      <vt:lpstr>Шаблоны соотвествие профилю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Назар Грехов</dc:creator>
  <cp:lastModifiedBy>Никита</cp:lastModifiedBy>
  <dcterms:created xsi:type="dcterms:W3CDTF">2015-06-05T18:19:34Z</dcterms:created>
  <dcterms:modified xsi:type="dcterms:W3CDTF">2022-04-10T12:25:31Z</dcterms:modified>
</cp:coreProperties>
</file>